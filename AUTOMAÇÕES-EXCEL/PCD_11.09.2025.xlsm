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Financeiro\sjc.21financeiro\2025\PCD\09SETEMBRO\"/>
    </mc:Choice>
  </mc:AlternateContent>
  <xr:revisionPtr revIDLastSave="0" documentId="8_{56CBABB0-556A-44A3-B281-7F7C9C91BB3F}" xr6:coauthVersionLast="47" xr6:coauthVersionMax="47" xr10:uidLastSave="{00000000-0000-0000-0000-000000000000}"/>
  <bookViews>
    <workbookView xWindow="-110" yWindow="-110" windowWidth="19420" windowHeight="10420" tabRatio="840" activeTab="1" xr2:uid="{E7562025-7A41-495E-AE7D-FCEA879F06EF}"/>
  </bookViews>
  <sheets>
    <sheet name="PCD DIA " sheetId="1" r:id="rId1"/>
    <sheet name="ESCALA" sheetId="2" r:id="rId2"/>
    <sheet name="MATINAIS" sheetId="3" r:id="rId3"/>
    <sheet name="FOLGA" sheetId="7" r:id="rId4"/>
    <sheet name="EMPILHADEIRAS" sheetId="5" r:id="rId5"/>
    <sheet name="CONHECIMENTO" sheetId="8" state="hidden" r:id="rId6"/>
  </sheets>
  <externalReferences>
    <externalReference r:id="rId7"/>
  </externalReferences>
  <definedNames>
    <definedName name="_xlnm._FilterDatabase" localSheetId="5" hidden="1">CONHECIMENTO!$A$2:$U$2</definedName>
    <definedName name="_xlnm._FilterDatabase" localSheetId="1" hidden="1">ESCALA!$A$7:$N$7</definedName>
    <definedName name="_xlnm._FilterDatabase" localSheetId="3" hidden="1">FOLGA!#REF!</definedName>
    <definedName name="_xlnm._FilterDatabase" localSheetId="0" hidden="1">'PCD DIA '!$A$1:$AN$31</definedName>
    <definedName name="SegmentaçãodeDados_MOTO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2" l="1"/>
  <c r="B37" i="2"/>
  <c r="B32" i="2"/>
  <c r="F56" i="2"/>
  <c r="B56" i="2" s="1"/>
  <c r="E56" i="2"/>
  <c r="A56" i="2" s="1"/>
  <c r="F55" i="2"/>
  <c r="B55" i="2" s="1"/>
  <c r="E55" i="2"/>
  <c r="A55" i="2" s="1"/>
  <c r="F54" i="2"/>
  <c r="B54" i="2" s="1"/>
  <c r="E54" i="2"/>
  <c r="A54" i="2" s="1"/>
  <c r="F53" i="2"/>
  <c r="B53" i="2" s="1"/>
  <c r="E53" i="2"/>
  <c r="A53" i="2" s="1"/>
  <c r="F52" i="2"/>
  <c r="B52" i="2" s="1"/>
  <c r="E52" i="2"/>
  <c r="A52" i="2" s="1"/>
  <c r="F51" i="2"/>
  <c r="B51" i="2" s="1"/>
  <c r="E51" i="2"/>
  <c r="A51" i="2" s="1"/>
  <c r="F50" i="2"/>
  <c r="B50" i="2" s="1"/>
  <c r="E50" i="2"/>
  <c r="A50" i="2" s="1"/>
  <c r="F49" i="2"/>
  <c r="B49" i="2" s="1"/>
  <c r="E49" i="2"/>
  <c r="A49" i="2" s="1"/>
  <c r="F48" i="2"/>
  <c r="B48" i="2" s="1"/>
  <c r="E48" i="2"/>
  <c r="A48" i="2" s="1"/>
  <c r="F47" i="2"/>
  <c r="B47" i="2" s="1"/>
  <c r="E47" i="2"/>
  <c r="A47" i="2" s="1"/>
  <c r="F46" i="2"/>
  <c r="B46" i="2" s="1"/>
  <c r="E46" i="2"/>
  <c r="A46" i="2" s="1"/>
  <c r="F45" i="2"/>
  <c r="B45" i="2" s="1"/>
  <c r="E45" i="2"/>
  <c r="A45" i="2" s="1"/>
  <c r="F44" i="2"/>
  <c r="B44" i="2" s="1"/>
  <c r="E44" i="2"/>
  <c r="A44" i="2" s="1"/>
  <c r="F43" i="2"/>
  <c r="B43" i="2" s="1"/>
  <c r="E43" i="2"/>
  <c r="A43" i="2" s="1"/>
  <c r="E39" i="2"/>
  <c r="E37" i="2"/>
  <c r="F36" i="2"/>
  <c r="B25" i="2" s="1"/>
  <c r="E36" i="2"/>
  <c r="A19" i="2" s="1"/>
  <c r="E32" i="2"/>
  <c r="F41" i="2"/>
  <c r="B41" i="2" s="1"/>
  <c r="E41" i="2"/>
  <c r="A41" i="2" s="1"/>
  <c r="F29" i="2"/>
  <c r="B34" i="2" s="1"/>
  <c r="E29" i="2"/>
  <c r="A34" i="2" s="1"/>
  <c r="F28" i="2"/>
  <c r="E28" i="2"/>
  <c r="F42" i="2"/>
  <c r="B42" i="2" s="1"/>
  <c r="E42" i="2"/>
  <c r="A42" i="2" s="1"/>
  <c r="F33" i="2"/>
  <c r="E33" i="2"/>
  <c r="F26" i="2"/>
  <c r="E26" i="2"/>
  <c r="F24" i="2"/>
  <c r="B14" i="2" s="1"/>
  <c r="E24" i="2"/>
  <c r="F31" i="2"/>
  <c r="B31" i="2" s="1"/>
  <c r="E31" i="2"/>
  <c r="A31" i="2" s="1"/>
  <c r="E22" i="2"/>
  <c r="A37" i="2" s="1"/>
  <c r="E21" i="2"/>
  <c r="F16" i="2"/>
  <c r="B28" i="2" s="1"/>
  <c r="E16" i="2"/>
  <c r="A28" i="2" s="1"/>
  <c r="F15" i="2"/>
  <c r="B24" i="2" s="1"/>
  <c r="E15" i="2"/>
  <c r="A24" i="2" s="1"/>
  <c r="F19" i="2"/>
  <c r="E19" i="2"/>
  <c r="E13" i="2"/>
  <c r="A21" i="2" s="1"/>
  <c r="F11" i="2"/>
  <c r="B23" i="2" s="1"/>
  <c r="E11" i="2"/>
  <c r="B8" i="2"/>
  <c r="A8" i="2"/>
  <c r="F40" i="2"/>
  <c r="B40" i="2" s="1"/>
  <c r="E40" i="2"/>
  <c r="A40" i="2" s="1"/>
  <c r="F14" i="2"/>
  <c r="E14" i="2"/>
  <c r="F10" i="2"/>
  <c r="B27" i="2" s="1"/>
  <c r="E10" i="2"/>
  <c r="A27" i="2" s="1"/>
  <c r="B9" i="2"/>
  <c r="A9" i="2"/>
  <c r="F12" i="2"/>
  <c r="B12" i="2" s="1"/>
  <c r="E12" i="2"/>
  <c r="A12" i="2" s="1"/>
  <c r="B17" i="2"/>
  <c r="A17" i="2"/>
  <c r="B30" i="2" l="1"/>
  <c r="B29" i="2"/>
  <c r="B33" i="2"/>
  <c r="B18" i="2"/>
  <c r="A25" i="2"/>
  <c r="B36" i="2"/>
  <c r="A30" i="2"/>
  <c r="A18" i="2"/>
  <c r="A29" i="2"/>
  <c r="A33" i="2"/>
  <c r="B38" i="2"/>
  <c r="A23" i="2"/>
  <c r="A32" i="2"/>
  <c r="A35" i="2"/>
  <c r="A38" i="2"/>
  <c r="A20" i="2"/>
  <c r="B22" i="2"/>
  <c r="B35" i="2"/>
  <c r="B20" i="2"/>
  <c r="B39" i="2"/>
  <c r="B13" i="2"/>
  <c r="A10" i="2"/>
  <c r="B11" i="2"/>
  <c r="A39" i="2"/>
  <c r="A13" i="2"/>
  <c r="A15" i="2"/>
  <c r="A22" i="2"/>
  <c r="B26" i="2"/>
  <c r="A36" i="2"/>
  <c r="B16" i="2"/>
  <c r="A14" i="2"/>
  <c r="A16" i="2"/>
  <c r="A11" i="2"/>
  <c r="B19" i="2"/>
  <c r="B10" i="2"/>
  <c r="B15" i="2"/>
  <c r="A26" i="2"/>
  <c r="E57" i="2"/>
  <c r="A57" i="2" s="1"/>
  <c r="E58" i="2"/>
  <c r="A58" i="2" s="1"/>
  <c r="E59" i="2"/>
  <c r="A59" i="2" s="1"/>
  <c r="E60" i="2"/>
  <c r="A60" i="2" s="1"/>
  <c r="E61" i="2"/>
  <c r="A61" i="2" s="1"/>
  <c r="E62" i="2"/>
  <c r="A62" i="2" s="1"/>
  <c r="E63" i="2"/>
  <c r="A63" i="2" s="1"/>
  <c r="E64" i="2"/>
  <c r="A64" i="2" s="1"/>
  <c r="E65" i="2"/>
  <c r="A65" i="2" s="1"/>
  <c r="E66" i="2"/>
  <c r="A66" i="2" s="1"/>
  <c r="E67" i="2"/>
  <c r="A67" i="2" s="1"/>
  <c r="E68" i="2"/>
  <c r="A68" i="2" s="1"/>
  <c r="E69" i="2"/>
  <c r="A69" i="2" s="1"/>
  <c r="E70" i="2"/>
  <c r="A70" i="2" s="1"/>
  <c r="E71" i="2"/>
  <c r="A71" i="2" s="1"/>
  <c r="E72" i="2"/>
  <c r="A72" i="2" s="1"/>
  <c r="E73" i="2"/>
  <c r="A73" i="2" s="1"/>
  <c r="E74" i="2"/>
  <c r="A74" i="2" s="1"/>
  <c r="E75" i="2"/>
  <c r="A75" i="2" s="1"/>
  <c r="E76" i="2"/>
  <c r="A76" i="2" s="1"/>
  <c r="E77" i="2"/>
  <c r="A77" i="2" s="1"/>
  <c r="E78" i="2"/>
  <c r="A78" i="2" s="1"/>
  <c r="E79" i="2"/>
  <c r="A79" i="2" s="1"/>
  <c r="E80" i="2"/>
  <c r="A80" i="2" s="1"/>
  <c r="E81" i="2"/>
  <c r="A81" i="2" s="1"/>
  <c r="E82" i="2"/>
  <c r="A82" i="2" s="1"/>
  <c r="E83" i="2"/>
  <c r="A83" i="2" s="1"/>
  <c r="E84" i="2"/>
  <c r="A84" i="2" s="1"/>
  <c r="E85" i="2"/>
  <c r="A85" i="2" s="1"/>
  <c r="E86" i="2"/>
  <c r="A86" i="2" s="1"/>
  <c r="E87" i="2"/>
  <c r="A87" i="2" s="1"/>
  <c r="E88" i="2"/>
  <c r="A88" i="2" s="1"/>
  <c r="E89" i="2"/>
  <c r="A89" i="2" s="1"/>
  <c r="E90" i="2"/>
  <c r="A90" i="2" s="1"/>
  <c r="E91" i="2"/>
  <c r="A91" i="2" s="1"/>
  <c r="E92" i="2"/>
  <c r="A92" i="2" s="1"/>
  <c r="E93" i="2"/>
  <c r="A93" i="2" s="1"/>
  <c r="E94" i="2"/>
  <c r="A94" i="2" s="1"/>
  <c r="E95" i="2"/>
  <c r="A95" i="2" s="1"/>
  <c r="E96" i="2"/>
  <c r="A96" i="2" s="1"/>
  <c r="E97" i="2"/>
  <c r="A97" i="2" s="1"/>
  <c r="E98" i="2"/>
  <c r="A98" i="2" s="1"/>
  <c r="E99" i="2"/>
  <c r="E100" i="2"/>
  <c r="E101" i="2"/>
  <c r="E102" i="2"/>
  <c r="E103" i="2"/>
  <c r="E104" i="2"/>
  <c r="E105" i="2"/>
  <c r="E106" i="2"/>
  <c r="E107" i="2"/>
  <c r="F57" i="2"/>
  <c r="B57" i="2" s="1"/>
  <c r="F58" i="2"/>
  <c r="B58" i="2" s="1"/>
  <c r="F59" i="2"/>
  <c r="B59" i="2" s="1"/>
  <c r="F60" i="2"/>
  <c r="B60" i="2" s="1"/>
  <c r="F61" i="2"/>
  <c r="B61" i="2" s="1"/>
  <c r="F62" i="2"/>
  <c r="B62" i="2" s="1"/>
  <c r="F63" i="2"/>
  <c r="B63" i="2" s="1"/>
  <c r="F64" i="2"/>
  <c r="B64" i="2" s="1"/>
  <c r="F65" i="2"/>
  <c r="B65" i="2" s="1"/>
  <c r="F66" i="2"/>
  <c r="B66" i="2" s="1"/>
  <c r="F67" i="2"/>
  <c r="B67" i="2" s="1"/>
  <c r="F68" i="2"/>
  <c r="B68" i="2" s="1"/>
  <c r="F69" i="2"/>
  <c r="B69" i="2" s="1"/>
  <c r="F70" i="2"/>
  <c r="B70" i="2" s="1"/>
  <c r="F71" i="2"/>
  <c r="B71" i="2" s="1"/>
  <c r="F72" i="2"/>
  <c r="B72" i="2" s="1"/>
  <c r="F73" i="2"/>
  <c r="B73" i="2" s="1"/>
  <c r="F74" i="2"/>
  <c r="B74" i="2" s="1"/>
  <c r="F75" i="2"/>
  <c r="B75" i="2" s="1"/>
  <c r="F76" i="2"/>
  <c r="B76" i="2" s="1"/>
  <c r="F77" i="2"/>
  <c r="B77" i="2" s="1"/>
  <c r="F78" i="2"/>
  <c r="B78" i="2" s="1"/>
  <c r="F79" i="2"/>
  <c r="B79" i="2" s="1"/>
  <c r="F80" i="2"/>
  <c r="B80" i="2" s="1"/>
  <c r="F81" i="2"/>
  <c r="B81" i="2" s="1"/>
  <c r="F82" i="2"/>
  <c r="B82" i="2" s="1"/>
  <c r="F83" i="2"/>
  <c r="B83" i="2" s="1"/>
  <c r="F84" i="2"/>
  <c r="B84" i="2" s="1"/>
  <c r="F85" i="2"/>
  <c r="B85" i="2" s="1"/>
  <c r="F86" i="2"/>
  <c r="B86" i="2" s="1"/>
  <c r="F87" i="2"/>
  <c r="B87" i="2" s="1"/>
  <c r="F88" i="2"/>
  <c r="B88" i="2" s="1"/>
  <c r="F89" i="2"/>
  <c r="B89" i="2" s="1"/>
  <c r="F90" i="2"/>
  <c r="B90" i="2" s="1"/>
  <c r="F91" i="2"/>
  <c r="B91" i="2" s="1"/>
  <c r="F92" i="2"/>
  <c r="B92" i="2" s="1"/>
  <c r="F93" i="2"/>
  <c r="B93" i="2" s="1"/>
  <c r="F94" i="2"/>
  <c r="B94" i="2" s="1"/>
  <c r="F95" i="2"/>
  <c r="B95" i="2" s="1"/>
  <c r="F96" i="2"/>
  <c r="B96" i="2" s="1"/>
  <c r="F97" i="2"/>
  <c r="B97" i="2" s="1"/>
  <c r="F98" i="2"/>
  <c r="B98" i="2" s="1"/>
  <c r="F99" i="2"/>
  <c r="B99" i="2" s="1"/>
  <c r="F100" i="2"/>
  <c r="B100" i="2" s="1"/>
  <c r="F101" i="2"/>
  <c r="B101" i="2" s="1"/>
  <c r="F102" i="2"/>
  <c r="B102" i="2" s="1"/>
  <c r="F103" i="2"/>
  <c r="B103" i="2" s="1"/>
  <c r="F104" i="2"/>
  <c r="B104" i="2" s="1"/>
  <c r="F105" i="2"/>
  <c r="B105" i="2" s="1"/>
  <c r="F106" i="2"/>
  <c r="F107" i="2"/>
  <c r="F39" i="3"/>
  <c r="F40" i="3"/>
  <c r="F41" i="3"/>
  <c r="F42" i="3"/>
  <c r="O6" i="2"/>
  <c r="P6" i="2"/>
  <c r="O29" i="2"/>
  <c r="O31" i="2"/>
  <c r="O41" i="2"/>
  <c r="P41" i="2" s="1"/>
  <c r="O40" i="2"/>
  <c r="O30" i="2"/>
  <c r="P30" i="2" s="1"/>
  <c r="O20" i="2"/>
  <c r="P20" i="2" s="1"/>
  <c r="O35" i="2"/>
  <c r="O42" i="2"/>
  <c r="O13" i="2"/>
  <c r="O25" i="2"/>
  <c r="O23" i="2"/>
  <c r="O34" i="2"/>
  <c r="P34" i="2" s="1"/>
  <c r="O27" i="2"/>
  <c r="O17" i="2"/>
  <c r="P17" i="2" s="1"/>
  <c r="O10" i="2"/>
  <c r="O8" i="2"/>
  <c r="O32" i="2"/>
  <c r="O26" i="2"/>
  <c r="O33" i="2"/>
  <c r="O16" i="2"/>
  <c r="O22" i="2"/>
  <c r="O15" i="2"/>
  <c r="O18" i="2"/>
  <c r="P18" i="2" s="1"/>
  <c r="O12" i="2"/>
  <c r="D12" i="3" l="1"/>
  <c r="P42" i="2"/>
  <c r="P10" i="2"/>
  <c r="P22" i="2"/>
  <c r="P23" i="2"/>
  <c r="P13" i="2"/>
  <c r="P35" i="2"/>
  <c r="P12" i="2"/>
  <c r="P16" i="2"/>
  <c r="P26" i="2"/>
  <c r="P25" i="2"/>
  <c r="E39" i="3"/>
  <c r="E42" i="3"/>
  <c r="E41" i="3"/>
  <c r="E40" i="3"/>
  <c r="J2" i="2"/>
  <c r="O9" i="2"/>
  <c r="I2" i="2"/>
  <c r="H2" i="2"/>
  <c r="F2" i="2"/>
  <c r="G2" i="2"/>
  <c r="E2" i="2"/>
  <c r="D2" i="2"/>
  <c r="P9" i="2" l="1"/>
  <c r="O21" i="2"/>
  <c r="O43" i="2"/>
  <c r="P43" i="2" s="1"/>
  <c r="O36" i="2"/>
  <c r="P36" i="2" s="1"/>
  <c r="O38" i="2"/>
  <c r="P38" i="2" s="1"/>
  <c r="O39" i="2"/>
  <c r="P39" i="2" s="1"/>
  <c r="O19" i="2"/>
  <c r="P19" i="2" s="1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1" i="2"/>
  <c r="F43" i="3"/>
  <c r="J5" i="2" l="1"/>
  <c r="I5" i="2" s="1" a="1"/>
  <c r="I5" i="2" s="1"/>
  <c r="D43" i="3"/>
  <c r="E4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D66" i="7" l="1"/>
  <c r="D28" i="7"/>
  <c r="D24" i="3" l="1"/>
  <c r="E38" i="3"/>
  <c r="E36" i="3"/>
  <c r="E34" i="3"/>
  <c r="E32" i="3"/>
  <c r="E30" i="3"/>
  <c r="E28" i="3"/>
  <c r="E26" i="3"/>
  <c r="E24" i="3"/>
  <c r="E37" i="3"/>
  <c r="E35" i="3"/>
  <c r="E33" i="3"/>
  <c r="E31" i="3"/>
  <c r="E29" i="3"/>
  <c r="E27" i="3"/>
  <c r="E25" i="3"/>
  <c r="D41" i="3"/>
  <c r="D39" i="3"/>
  <c r="D37" i="3"/>
  <c r="D35" i="3"/>
  <c r="D33" i="3"/>
  <c r="D31" i="3"/>
  <c r="D29" i="3"/>
  <c r="D27" i="3"/>
  <c r="D25" i="3"/>
  <c r="D42" i="3"/>
  <c r="D40" i="3"/>
  <c r="D38" i="3"/>
  <c r="D36" i="3"/>
  <c r="D34" i="3"/>
  <c r="D32" i="3"/>
  <c r="D30" i="3"/>
  <c r="D28" i="3"/>
  <c r="D26" i="3"/>
  <c r="D5" i="3"/>
  <c r="D7" i="3"/>
  <c r="D9" i="3"/>
  <c r="D11" i="3"/>
  <c r="D13" i="3"/>
  <c r="D15" i="3"/>
  <c r="D17" i="3"/>
  <c r="D19" i="3"/>
  <c r="D4" i="3"/>
  <c r="D6" i="3"/>
  <c r="D8" i="3"/>
  <c r="D10" i="3"/>
  <c r="D14" i="3"/>
  <c r="D16" i="3"/>
  <c r="D18" i="3"/>
  <c r="E4" i="3"/>
  <c r="E6" i="3"/>
  <c r="E8" i="3"/>
  <c r="E10" i="3"/>
  <c r="E12" i="3"/>
  <c r="E14" i="3"/>
  <c r="E16" i="3"/>
  <c r="E18" i="3"/>
  <c r="E3" i="3"/>
  <c r="E5" i="3"/>
  <c r="E7" i="3"/>
  <c r="E9" i="3"/>
  <c r="E11" i="3"/>
  <c r="E13" i="3"/>
  <c r="E15" i="3"/>
  <c r="E17" i="3"/>
  <c r="E19" i="3"/>
  <c r="D3" i="3"/>
  <c r="D67" i="7"/>
  <c r="D65" i="7"/>
  <c r="D64" i="7"/>
  <c r="D63" i="7"/>
  <c r="D61" i="7"/>
  <c r="D60" i="7"/>
  <c r="D58" i="7"/>
  <c r="D55" i="7"/>
  <c r="D54" i="7"/>
  <c r="D53" i="7"/>
  <c r="D52" i="7"/>
  <c r="D50" i="7"/>
  <c r="D44" i="7"/>
  <c r="D42" i="7"/>
  <c r="D41" i="7"/>
  <c r="D39" i="7"/>
  <c r="D37" i="7"/>
  <c r="D33" i="7"/>
  <c r="D32" i="7"/>
  <c r="D30" i="7"/>
  <c r="D27" i="7"/>
  <c r="D25" i="7"/>
  <c r="D23" i="7"/>
  <c r="D22" i="7"/>
  <c r="D20" i="7"/>
  <c r="D19" i="7"/>
  <c r="D18" i="7"/>
  <c r="D17" i="7"/>
  <c r="D16" i="7"/>
  <c r="D15" i="7"/>
  <c r="D14" i="7"/>
  <c r="D13" i="7"/>
  <c r="D11" i="7"/>
  <c r="D9" i="7"/>
  <c r="D7" i="7"/>
  <c r="D5" i="7"/>
  <c r="D56" i="7"/>
  <c r="D68" i="7"/>
  <c r="D57" i="7"/>
  <c r="D49" i="7"/>
  <c r="D48" i="7"/>
  <c r="D47" i="7"/>
  <c r="D36" i="7"/>
  <c r="D35" i="7"/>
  <c r="D34" i="7"/>
  <c r="D24" i="7"/>
  <c r="D62" i="7"/>
  <c r="D31" i="7"/>
  <c r="D29" i="7"/>
  <c r="D26" i="7"/>
  <c r="D21" i="7"/>
  <c r="D12" i="7"/>
  <c r="D10" i="7"/>
  <c r="D6" i="7"/>
  <c r="D59" i="7"/>
  <c r="D51" i="7"/>
  <c r="D43" i="7"/>
  <c r="D45" i="7"/>
  <c r="D40" i="7"/>
  <c r="D38" i="7"/>
  <c r="D8" i="7"/>
  <c r="D46" i="7"/>
  <c r="E2" i="3" l="1"/>
  <c r="F23" i="3" l="1"/>
  <c r="F2" i="3"/>
  <c r="F6" i="2"/>
  <c r="E6" i="2"/>
  <c r="P2" i="3"/>
  <c r="J7" i="3" s="1"/>
  <c r="F51" i="3"/>
  <c r="E51" i="3"/>
  <c r="D51" i="3"/>
  <c r="F50" i="3"/>
  <c r="E50" i="3"/>
  <c r="D50" i="3"/>
  <c r="N23" i="3" l="1"/>
  <c r="J25" i="3"/>
  <c r="N24" i="3"/>
  <c r="E23" i="3"/>
  <c r="D23" i="3"/>
  <c r="D2" i="3"/>
  <c r="J24" i="3"/>
  <c r="J23" i="3"/>
  <c r="N2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tc={35D662E7-5EF6-4238-A24B-F4E164F2C996}</author>
    <author>ANA GABRIELA SANTOS SILVA</author>
    <author>Caio Reghini Filipino De Toledo</author>
    <author>tc={1028473F-692D-4761-BB14-77C8E81EABB9}</author>
    <author>tc={C521E09F-126F-4798-A263-2AD10D7A039A}</author>
    <author>tc={4413F3F4-981A-4EF0-91FB-8A564CB164E6}</author>
    <author>tc={AE956689-6ADC-4871-8A51-9C7A33001108}</author>
    <author>tc={83AC4627-1945-442F-AEF4-EE334E7C58FA}</author>
    <author>tc={E9CC6CE5-046E-413C-88BB-C86E9A5ADD87}</author>
    <author>tc={8A005E1D-24CD-4470-A507-5C71A833A88C}</author>
    <author>tc={FC2140B7-4A8E-472B-A30E-7A20ADC43C62}</author>
    <author>tc={C67EB8FC-4320-4F9A-B5C2-D539339AF7C4}</author>
    <author>tc={433141B1-ED1B-4B3B-9351-F5FEF3E9EB36}</author>
    <author>tc={38A083F3-0016-4658-AFDC-2A841200FF11}</author>
    <author>tc={73D08353-596D-434A-9F85-1435D3722639}</author>
    <author>tc={C425E90C-FCE5-480A-8F02-4BD01E270986}</author>
    <author>tc={4EF16A9B-9834-4173-8B3E-3159AB619545}</author>
    <author>tc={13EE1428-F7AD-4616-B076-BF396262DDF0}</author>
    <author>tc={A6409880-182B-4602-91DF-8FC43A39E51F}</author>
    <author>tc={86DF0FAE-B634-4A74-8E04-50BD0638F5C9}</author>
    <author>tc={83708EA7-F8EF-4E9E-AD6F-A177D19938FE}</author>
    <author>tc={ADBD57ED-AE7F-49A7-A076-93CAD78929E1}</author>
    <author>tc={448786B2-8849-40AD-8940-888ECBCDCEDA}</author>
    <author>tc={52FDF29B-FEF9-4F20-AEA2-2C554974EFA6}</author>
    <author>tc={AEAAA4DC-9AF7-483D-BA01-F7858A5F23CC}</author>
    <author>tc={9BB77D1B-223F-418F-B22B-D7954021E8F5}</author>
    <author>tc={7492863E-61C8-4789-9549-79D4D49D3D7D}</author>
    <author>tc={94418F46-83D9-43E4-9C25-F3D94C04A073}</author>
    <author>tc={852D521A-C0F7-4087-9539-093A57618EAD}</author>
  </authors>
  <commentList>
    <comment ref="AA6" authorId="0" shapeId="0" xr:uid="{35D662E7-5EF6-4238-A24B-F4E164F2C99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Médico
</t>
      </text>
    </comment>
    <comment ref="H8" authorId="1" shapeId="0" xr:uid="{B0B44F23-A606-41FC-BD9D-0DC3105DE4B7}">
      <text>
        <r>
          <rPr>
            <b/>
            <sz val="9"/>
            <color indexed="81"/>
            <rFont val="Segoe UI"/>
            <family val="2"/>
          </rPr>
          <t>ANA GABRIELA SANTOS SILVA:</t>
        </r>
        <r>
          <rPr>
            <sz val="9"/>
            <color indexed="81"/>
            <rFont val="Segoe UI"/>
            <family val="2"/>
          </rPr>
          <t xml:space="preserve">
Pediu para ficar de fora, para arrumar o carro
</t>
        </r>
      </text>
    </comment>
    <comment ref="W8" authorId="2" shapeId="0" xr:uid="{6EB118B3-0A1B-4769-8FBD-7D7F3B077DC7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Pediu por causa do aniversário na sexta</t>
        </r>
      </text>
    </comment>
    <comment ref="AF9" authorId="2" shapeId="0" xr:uid="{C8DB39EF-B23E-48B5-AECE-DA349250E771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Folga Team Room</t>
        </r>
      </text>
    </comment>
    <comment ref="F10" authorId="3" shapeId="0" xr:uid="{1028473F-692D-4761-BB14-77C8E81EABB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Pediu para ficar de fora 
Responder:
    médoco</t>
      </text>
    </comment>
    <comment ref="O10" authorId="4" shapeId="0" xr:uid="{C521E09F-126F-4798-A263-2AD10D7A039A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MEDICO 10H
</t>
      </text>
    </comment>
    <comment ref="AA10" authorId="5" shapeId="0" xr:uid="{4413F3F4-981A-4EF0-91FB-8A564CB164E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Médico
</t>
      </text>
    </comment>
    <comment ref="F12" authorId="1" shapeId="0" xr:uid="{C20BC4C5-1AE0-4A62-B8E1-EDB667324DA7}">
      <text>
        <r>
          <rPr>
            <b/>
            <sz val="9"/>
            <color indexed="81"/>
            <rFont val="Segoe UI"/>
            <family val="2"/>
          </rPr>
          <t>ANA GABRIELA SANTOS SILVA:</t>
        </r>
        <r>
          <rPr>
            <sz val="9"/>
            <color indexed="81"/>
            <rFont val="Segoe UI"/>
            <family val="2"/>
          </rPr>
          <t xml:space="preserve">
Pediu para ficar de fora 
</t>
        </r>
      </text>
    </comment>
    <comment ref="AA13" authorId="6" shapeId="0" xr:uid="{AE956689-6ADC-4871-8A51-9C7A3300110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atestado</t>
      </text>
    </comment>
    <comment ref="AC13" authorId="7" shapeId="0" xr:uid="{83AC4627-1945-442F-AEF4-EE334E7C58F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atestado</t>
      </text>
    </comment>
    <comment ref="AD13" authorId="8" shapeId="0" xr:uid="{E9CC6CE5-046E-413C-88BB-C86E9A5ADD8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atestado</t>
      </text>
    </comment>
    <comment ref="I15" authorId="9" shapeId="0" xr:uid="{8A005E1D-24CD-4470-A507-5C71A833A88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Falta, sem justificativa </t>
      </text>
    </comment>
    <comment ref="N15" authorId="10" shapeId="0" xr:uid="{FC2140B7-4A8E-472B-A30E-7A20ADC43C62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PROBLEMAS COM A FILHA </t>
      </text>
    </comment>
    <comment ref="P18" authorId="2" shapeId="0" xr:uid="{43B9A91C-C70A-4472-B869-F1FB8C7EB351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Festa junina do filho
</t>
        </r>
      </text>
    </comment>
    <comment ref="K23" authorId="11" shapeId="0" xr:uid="{C67EB8FC-4320-4F9A-B5C2-D539339AF7C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ASO</t>
      </text>
    </comment>
    <comment ref="S23" authorId="2" shapeId="0" xr:uid="{9AC21E24-6BC7-4627-AA2B-CCFB266190D9}">
      <text>
        <r>
          <rPr>
            <b/>
            <sz val="9"/>
            <color indexed="81"/>
            <rFont val="Segoe UI"/>
            <family val="2"/>
          </rPr>
          <t xml:space="preserve">Caio Reghini Filipino De Toledo:
</t>
        </r>
        <r>
          <rPr>
            <sz val="9"/>
            <color indexed="81"/>
            <rFont val="Segoe UI"/>
            <family val="2"/>
          </rPr>
          <t>Levar a sogra ao médico pois está acamada.</t>
        </r>
      </text>
    </comment>
    <comment ref="V23" authorId="2" shapeId="0" xr:uid="{B692978C-5947-41EC-8D1C-6A1EB7B4A2BA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suspensão por falta de epi</t>
        </r>
      </text>
    </comment>
    <comment ref="AD24" authorId="12" shapeId="0" xr:uid="{433141B1-ED1B-4B3B-9351-F5FEF3E9EB3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Folga team room</t>
      </text>
    </comment>
    <comment ref="E34" authorId="13" shapeId="0" xr:uid="{38A083F3-0016-4658-AFDC-2A841200FF1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Pediu para ficar de fora, para fazer compra </t>
      </text>
    </comment>
    <comment ref="K36" authorId="14" shapeId="0" xr:uid="{73D08353-596D-434A-9F85-1435D372263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ASO</t>
      </text>
    </comment>
    <comment ref="K37" authorId="15" shapeId="0" xr:uid="{C425E90C-FCE5-480A-8F02-4BD01E2709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FALTA 
</t>
      </text>
    </comment>
    <comment ref="AA37" authorId="16" shapeId="0" xr:uid="{4EF16A9B-9834-4173-8B3E-3159AB61954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Suspensão</t>
      </text>
    </comment>
    <comment ref="H38" authorId="17" shapeId="0" xr:uid="{13EE1428-F7AD-4616-B076-BF396262DDF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Aso
</t>
      </text>
    </comment>
    <comment ref="H40" authorId="18" shapeId="0" xr:uid="{A6409880-182B-4602-91DF-8FC43A39E51F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Ficou de fora para levar sogro no hospital
</t>
      </text>
    </comment>
    <comment ref="V40" authorId="2" shapeId="0" xr:uid="{7B4D4804-3AEF-4349-8E3D-6C162EACB9AF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suspensão por 1 dia por falta de epi</t>
        </r>
      </text>
    </comment>
    <comment ref="AD41" authorId="19" shapeId="0" xr:uid="{86DF0FAE-B634-4A74-8E04-50BD0638F5C9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Disse que não estava bem </t>
      </text>
    </comment>
    <comment ref="O42" authorId="20" shapeId="0" xr:uid="{83708EA7-F8EF-4E9E-AD6F-A177D19938F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IR NO BANCO RESOLVER COISAS DA ESPOSA</t>
      </text>
    </comment>
    <comment ref="F43" authorId="21" shapeId="0" xr:uid="{ADBD57ED-AE7F-49A7-A076-93CAD78929E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Filha doente 
</t>
      </text>
    </comment>
    <comment ref="G43" authorId="22" shapeId="0" xr:uid="{448786B2-8849-40AD-8940-888ECBCDCEDA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Filha doente </t>
      </text>
    </comment>
    <comment ref="I46" authorId="23" shapeId="0" xr:uid="{52FDF29B-FEF9-4F20-AEA2-2C554974EFA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Folga alinhada com ildo, ele foi para SP</t>
      </text>
    </comment>
    <comment ref="P47" authorId="2" shapeId="0" xr:uid="{71D88605-A11C-4FF9-9BFC-5D4C015F3020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Disse na sexta que n'ao estava bem e que iria dar atestado hoje.
</t>
        </r>
      </text>
    </comment>
    <comment ref="L48" authorId="2" shapeId="0" xr:uid="{467CAD16-07E7-460D-ACF3-A4F532D496A3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Crise alergica</t>
        </r>
      </text>
    </comment>
    <comment ref="AD52" authorId="24" shapeId="0" xr:uid="{AEAAA4DC-9AF7-483D-BA01-F7858A5F23C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Niver filha</t>
      </text>
    </comment>
    <comment ref="S53" authorId="2" shapeId="0" xr:uid="{4F6D7760-3116-4060-9FD3-F27EC28DDEC3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mãe estava passando mal - não tinha quem ficasse com a filha</t>
        </r>
      </text>
    </comment>
    <comment ref="R58" authorId="2" shapeId="0" xr:uid="{7DD4950A-2FA7-4E37-AD5E-69996C5F6C6B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Torceu o pé no domingo e estava com tornozelo inchado - não foi ao médico</t>
        </r>
      </text>
    </comment>
    <comment ref="G59" authorId="25" shapeId="0" xr:uid="{9BB77D1B-223F-418F-B22B-D7954021E8F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Aso</t>
      </text>
    </comment>
    <comment ref="S59" authorId="2" shapeId="0" xr:uid="{C1992BED-D0BD-4044-A8DF-D2E4B6BBDD72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marcou Endocrino às 09h35</t>
        </r>
      </text>
    </comment>
    <comment ref="N66" authorId="26" shapeId="0" xr:uid="{7492863E-61C8-4789-9549-79D4D49D3D7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Médico 10h</t>
      </text>
    </comment>
    <comment ref="AD66" authorId="27" shapeId="0" xr:uid="{94418F46-83D9-43E4-9C25-F3D94C04A073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Alinhamento ildo 
</t>
      </text>
    </comment>
    <comment ref="AF66" authorId="2" shapeId="0" xr:uid="{884A1B81-5337-492C-84A0-EF036C7CFF2B}">
      <text>
        <r>
          <rPr>
            <b/>
            <sz val="9"/>
            <color indexed="81"/>
            <rFont val="Segoe UI"/>
            <family val="2"/>
          </rPr>
          <t>Caio Reghini Filipino De Toledo:</t>
        </r>
        <r>
          <rPr>
            <sz val="9"/>
            <color indexed="81"/>
            <rFont val="Segoe UI"/>
            <family val="2"/>
          </rPr>
          <t xml:space="preserve">
Folga Team Room</t>
        </r>
      </text>
    </comment>
    <comment ref="E68" authorId="28" shapeId="0" xr:uid="{852D521A-C0F7-4087-9539-093A57618EAD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Ficou de fora que d-1,  estava com virose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<sst xmlns="http://schemas.openxmlformats.org/spreadsheetml/2006/main" count="1203" uniqueCount="481">
  <si>
    <t>Nro do Mapa</t>
  </si>
  <si>
    <t>Veículo</t>
  </si>
  <si>
    <t>Placa</t>
  </si>
  <si>
    <t>Motorista</t>
  </si>
  <si>
    <t>KM Prev.</t>
  </si>
  <si>
    <t>Tempo Prev. (+almoço)</t>
  </si>
  <si>
    <t>Entregas</t>
  </si>
  <si>
    <t>Total peso</t>
  </si>
  <si>
    <t>Cidades +Entregas</t>
  </si>
  <si>
    <t>Região +Entregas</t>
  </si>
  <si>
    <t>Clientes</t>
  </si>
  <si>
    <t>JBP9H32</t>
  </si>
  <si>
    <t>GCO3325</t>
  </si>
  <si>
    <t>FUV7C96</t>
  </si>
  <si>
    <t>FQI0G15</t>
  </si>
  <si>
    <t>JBQ1B38</t>
  </si>
  <si>
    <t>PPV6502</t>
  </si>
  <si>
    <t>FAU1H46</t>
  </si>
  <si>
    <t>GBM3J31</t>
  </si>
  <si>
    <t>FPY3C71</t>
  </si>
  <si>
    <t>JBP3F10</t>
  </si>
  <si>
    <t>RFY5F08</t>
  </si>
  <si>
    <t>FUY0F58</t>
  </si>
  <si>
    <t>RGB9G83</t>
  </si>
  <si>
    <t>RFY5F53</t>
  </si>
  <si>
    <t>JBP9G62</t>
  </si>
  <si>
    <t>FSG4E17</t>
  </si>
  <si>
    <t>RFY5F38</t>
  </si>
  <si>
    <t>PPV6512</t>
  </si>
  <si>
    <t>FSU6A63</t>
  </si>
  <si>
    <t>Ajudante 1</t>
  </si>
  <si>
    <t>Ajudante 2</t>
  </si>
  <si>
    <t>FGL3J04</t>
  </si>
  <si>
    <t>2-ANTONIO DA SILVA FERREIRA</t>
  </si>
  <si>
    <t>142-RODOLFO ADILSON LOPES</t>
  </si>
  <si>
    <t>35-LEDSON LUIS DOS SANTOS CARDOSO</t>
  </si>
  <si>
    <t>70-CARLOS ALEXANDRE DA SILVA SANTOS</t>
  </si>
  <si>
    <t>47-CLAYTON CARLOS GONCALVES DA SILVA</t>
  </si>
  <si>
    <t>68-EDSON CANDIDO DE SOUZA</t>
  </si>
  <si>
    <t>51-AMANDO JARDIM DE JESUS</t>
  </si>
  <si>
    <t>88-LEONARDO DOS SANTOS OLIVEIRA</t>
  </si>
  <si>
    <t>7-IVAN PEREIRA DOS SANTOS</t>
  </si>
  <si>
    <t>112-EDNALDO FELIX DE OLIVEIRA</t>
  </si>
  <si>
    <t>89-ERIVELTON LANDIM MEDEIROS</t>
  </si>
  <si>
    <t>49-AMAURI DA SILVA SANTOS</t>
  </si>
  <si>
    <t>90- FABIANO JOSÉ DA SILVA</t>
  </si>
  <si>
    <t>44-CRISTIANO ROLDOLFO DE OLIVEIRA</t>
  </si>
  <si>
    <t xml:space="preserve">19-ROBSON DE SIQUEIRA MANCILHA   </t>
  </si>
  <si>
    <t>04-RICARDO RODRIGO GONÇALVES</t>
  </si>
  <si>
    <t>15-LUIS ALBERTO C DE FREITAS</t>
  </si>
  <si>
    <t>195- DIOGO VINICIUS DE SOUSA</t>
  </si>
  <si>
    <t>76-DAVID VALERIO SILVA</t>
  </si>
  <si>
    <t>94-MILTON DE JESUS SANTANA</t>
  </si>
  <si>
    <t>FUG1A56</t>
  </si>
  <si>
    <t>56-ANDERSON NOGUEIRA MANOEL</t>
  </si>
  <si>
    <t>196-JOSE MARIA JERONIMO DE SOUZA</t>
  </si>
  <si>
    <t>9-FABIO LUIZ FERREIRA</t>
  </si>
  <si>
    <t>101-ADEILDO DE ARAUJO</t>
  </si>
  <si>
    <t>13-LAELSON GERMANO DA ROCHA</t>
  </si>
  <si>
    <t>201-CLAUDIO DE JESUS SOUSA</t>
  </si>
  <si>
    <t>GAE0D29</t>
  </si>
  <si>
    <t>78-DAILTON LIMA DE OLIVEIRA</t>
  </si>
  <si>
    <t>182-RENATO ORTEGA GONCALVES</t>
  </si>
  <si>
    <t>99-IVANILSON FERNANDES SOUZA</t>
  </si>
  <si>
    <t>153-MAURO ROQUE DOS SANTOS</t>
  </si>
  <si>
    <t>63-ALAN GARCIA DE ARAUJO</t>
  </si>
  <si>
    <t>04-CICERO CLEBERSON CORREIA DA SILVA</t>
  </si>
  <si>
    <t>57-DENILSON FERREIRA RODRIGUES</t>
  </si>
  <si>
    <t>98-GERSON APARECIDO DE MOURA</t>
  </si>
  <si>
    <t>92-JOSEMAR JOSE DA SILVA</t>
  </si>
  <si>
    <t>6-ISAEL DE CARVALHO OLIVEIRA</t>
  </si>
  <si>
    <t>117-FRANCISCO DE OLIVEIRA</t>
  </si>
  <si>
    <t>JBQ1B39</t>
  </si>
  <si>
    <t>194- PAULO EDUARDO PRICOLI</t>
  </si>
  <si>
    <t>138-PAULO CESAR DE OLIVEIRA</t>
  </si>
  <si>
    <t>187-ALEXANDRE LUIS FRANKLIN DOS SANTOS</t>
  </si>
  <si>
    <t>183-VANDERLEI DONISETE BELMIRO</t>
  </si>
  <si>
    <t>03-ADAILTON ALVES FERNANDES</t>
  </si>
  <si>
    <t>120-GILMAR DE GODOY</t>
  </si>
  <si>
    <t>200-JOÃO VICTOR SOUZA LANDIM</t>
  </si>
  <si>
    <t xml:space="preserve">21-SAMUEL APARECIDO DOS S LEITE  </t>
  </si>
  <si>
    <t>22-WENDEL CORREA BAHIA</t>
  </si>
  <si>
    <t>5-BENEDITO ROGERIO DE ANDRADE</t>
  </si>
  <si>
    <t>79-DAVID DE ABREU VALÉRIO</t>
  </si>
  <si>
    <t>JBP3F04</t>
  </si>
  <si>
    <t>168-RODRIGO CAETANO MARQUES</t>
  </si>
  <si>
    <t>181-BRENDO ARANTES</t>
  </si>
  <si>
    <t>140-RICARDO DE SOUZA DE BARROS</t>
  </si>
  <si>
    <t>134-RAUL FRANCIS FERREIRA</t>
  </si>
  <si>
    <t>137-PAULO CESAR CABRAL BASILIO</t>
  </si>
  <si>
    <t>FUE0G18</t>
  </si>
  <si>
    <t>93-DOGLIMAR DOS SANTOS</t>
  </si>
  <si>
    <t>184-JOAO VITOR PEDROSO DE OLIVEIRA</t>
  </si>
  <si>
    <t>23-ANDERSON DE SOUZA</t>
  </si>
  <si>
    <t>80-WENDEL FELIPE FERREIRA DOS SANTOS</t>
  </si>
  <si>
    <t>Ajudante</t>
  </si>
  <si>
    <t>M</t>
  </si>
  <si>
    <t>A1</t>
  </si>
  <si>
    <t>A2</t>
  </si>
  <si>
    <t xml:space="preserve"> FÉRIAS  MOTORISTA (MÊS 01/2025) </t>
  </si>
  <si>
    <t xml:space="preserve">FÉRIAS  AJUDANTE (MÊS 01/2025) </t>
  </si>
  <si>
    <t>AFASTADO</t>
  </si>
  <si>
    <t>103-VALDIR FRANCISCO SANTOS</t>
  </si>
  <si>
    <t>66-ANTONIO FRANCISCO PEREIRA DA SILVA</t>
  </si>
  <si>
    <t>122-MARCIO ANTONIO LANDIM</t>
  </si>
  <si>
    <t>51-WILLIAM AUGUSTO ALMEIDA PIRES</t>
  </si>
  <si>
    <t>182-LUIZ OTAVIO MONTEIRO</t>
  </si>
  <si>
    <t>82-DARCIO COUTO SOUZA</t>
  </si>
  <si>
    <t>48-PAULO CESAR NOGUEIRA</t>
  </si>
  <si>
    <t>193-BRUNO CESAR DA COSTA</t>
  </si>
  <si>
    <t>111-JEAN ALEXANDRE MARTINS</t>
  </si>
  <si>
    <t>252-DANIEL ALEXANDRE FERREIRA ROQUE</t>
  </si>
  <si>
    <t>126-MARCILON ADAMILTON LANDIM</t>
  </si>
  <si>
    <t>202- RIAN SANTOS FRANCA DE SILVA</t>
  </si>
  <si>
    <t>150-GABRIEL CURSINO FERREIRA</t>
  </si>
  <si>
    <t>OBS</t>
  </si>
  <si>
    <t>74-MARCOS BRITO DE JESUS</t>
  </si>
  <si>
    <t>VESPERTINAS</t>
  </si>
  <si>
    <t>136-FRANCISCO DONIZETE DE JESUS</t>
  </si>
  <si>
    <t>120-EDSON FONTES DE SOUZA</t>
  </si>
  <si>
    <t xml:space="preserve">55-JEAN APARECIDO LAIA </t>
  </si>
  <si>
    <t>DE</t>
  </si>
  <si>
    <t>ATÉ</t>
  </si>
  <si>
    <t>RESTANTES</t>
  </si>
  <si>
    <t>PESO TOTAL</t>
  </si>
  <si>
    <t>ENTREGAS</t>
  </si>
  <si>
    <t>FATORES 2</t>
  </si>
  <si>
    <t>MATINAL</t>
  </si>
  <si>
    <t>MOTO</t>
  </si>
  <si>
    <t>AJU</t>
  </si>
  <si>
    <t>FIDELIZAÇÃO</t>
  </si>
  <si>
    <t>1ª VIAGEM</t>
  </si>
  <si>
    <t>RECARGA</t>
  </si>
  <si>
    <t>MATINAL 7H</t>
  </si>
  <si>
    <t>MATINAL 7:40H</t>
  </si>
  <si>
    <t xml:space="preserve"> FÉRIAS  MOTORISTA </t>
  </si>
  <si>
    <t xml:space="preserve">HOJE </t>
  </si>
  <si>
    <t xml:space="preserve">84 - EVERTON LIMA DE OLIVEIRA </t>
  </si>
  <si>
    <t xml:space="preserve">SUPERMERCADO PORTUGU                    </t>
  </si>
  <si>
    <t xml:space="preserve">MERCADAO VARIANTE                       </t>
  </si>
  <si>
    <t xml:space="preserve">STYLLUS IGARATA 9 L                     </t>
  </si>
  <si>
    <t xml:space="preserve">STYLLUS SANTA ISABEL                    </t>
  </si>
  <si>
    <t xml:space="preserve">MB BASTOS                               </t>
  </si>
  <si>
    <t xml:space="preserve">ADEGA DO MINEIRO                        </t>
  </si>
  <si>
    <t xml:space="preserve">MERCADAO MARGINAL                       </t>
  </si>
  <si>
    <t xml:space="preserve">REI DO MALTE                            </t>
  </si>
  <si>
    <t xml:space="preserve">Piratininga Satelite                    </t>
  </si>
  <si>
    <t xml:space="preserve">DOCE BELA                               </t>
  </si>
  <si>
    <t xml:space="preserve">FEMAR BEBIDAS                           </t>
  </si>
  <si>
    <t xml:space="preserve">Simpatia Campos SJ                      </t>
  </si>
  <si>
    <t xml:space="preserve">Simpatia Parque SJ                      </t>
  </si>
  <si>
    <t>Rio Vale</t>
  </si>
  <si>
    <t>CAYENA</t>
  </si>
  <si>
    <t>Supermercado Alean de Santana Ltda</t>
  </si>
  <si>
    <t>Comercial Styllus Center de Aruja Ltda</t>
  </si>
  <si>
    <t>Comercial Santa Isabel Eireli Ltda</t>
  </si>
  <si>
    <t>JR Super Distribuidora</t>
  </si>
  <si>
    <t>RN Distribuidora</t>
  </si>
  <si>
    <t>ACHEI Atacarejo</t>
  </si>
  <si>
    <t xml:space="preserve">PDV </t>
  </si>
  <si>
    <t xml:space="preserve">NOME </t>
  </si>
  <si>
    <t xml:space="preserve">ADEGA DO MINEIRO                   </t>
  </si>
  <si>
    <t>FRETEIRO</t>
  </si>
  <si>
    <t>AJUDANTE</t>
  </si>
  <si>
    <t xml:space="preserve">03-JOÃO BATISTA DA SILVA </t>
  </si>
  <si>
    <t>11- JOSE MAURO DE ANDRADE</t>
  </si>
  <si>
    <t>SJC</t>
  </si>
  <si>
    <t xml:space="preserve">NORTE </t>
  </si>
  <si>
    <t xml:space="preserve">SUL </t>
  </si>
  <si>
    <t xml:space="preserve">LESTE </t>
  </si>
  <si>
    <t xml:space="preserve">GALO BRANCO </t>
  </si>
  <si>
    <t>CENTRO</t>
  </si>
  <si>
    <t xml:space="preserve">URBANOVA </t>
  </si>
  <si>
    <t>JACAREI</t>
  </si>
  <si>
    <t xml:space="preserve">SANTA BRANCA </t>
  </si>
  <si>
    <t>SALESOPOLIS</t>
  </si>
  <si>
    <t>JAMBEIRO</t>
  </si>
  <si>
    <t>SANTA ISABEL</t>
  </si>
  <si>
    <t xml:space="preserve">GUARAREMA </t>
  </si>
  <si>
    <t>PARAIBUNA</t>
  </si>
  <si>
    <t>NOME</t>
  </si>
  <si>
    <t>OK</t>
  </si>
  <si>
    <t>TALVEZ</t>
  </si>
  <si>
    <t>NÃO</t>
  </si>
  <si>
    <t xml:space="preserve">MOTORISTA </t>
  </si>
  <si>
    <t>93-DOGLIMAR DOS SANTOS (CORINGA)</t>
  </si>
  <si>
    <t xml:space="preserve">PLACA </t>
  </si>
  <si>
    <t>103 - Paraibuna</t>
  </si>
  <si>
    <t>304 - Urbanova</t>
  </si>
  <si>
    <t>202 - Telespark</t>
  </si>
  <si>
    <t>204 - Eugênio de Melo</t>
  </si>
  <si>
    <t>401 - Jacareí - Pq dos Principes</t>
  </si>
  <si>
    <t>302 - Jardim Morumbi</t>
  </si>
  <si>
    <t>421 - Igarata</t>
  </si>
  <si>
    <t>420 - Santa Isabel</t>
  </si>
  <si>
    <t xml:space="preserve">AJUDANTE </t>
  </si>
  <si>
    <t>REGIÃO</t>
  </si>
  <si>
    <t>412 - Santa Maria</t>
  </si>
  <si>
    <t>402 - Salesópolis</t>
  </si>
  <si>
    <t>200 - Vila Tatetuba</t>
  </si>
  <si>
    <t xml:space="preserve">ULTIMA VEZ </t>
  </si>
  <si>
    <t xml:space="preserve">COLABORADOR </t>
  </si>
  <si>
    <t xml:space="preserve">VEZES DE FORA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</si>
  <si>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</si>
  <si>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</si>
  <si>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</si>
  <si>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</si>
  <si>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</si>
  <si>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</si>
  <si>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</si>
  <si>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</si>
  <si>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</si>
  <si>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</si>
  <si>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</si>
  <si>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</si>
  <si>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</si>
  <si>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</si>
  <si>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</si>
  <si>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</si>
  <si>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</si>
  <si>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</si>
  <si>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</si>
  <si>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</si>
  <si>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</si>
  <si>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</si>
  <si>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</si>
  <si>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</si>
  <si>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</si>
  <si>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</si>
  <si>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</si>
  <si>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</si>
  <si>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</si>
  <si>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</si>
  <si>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</si>
  <si>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ADAILTON ALVES FERNANDES</t>
  </si>
  <si>
    <t xml:space="preserve">JOÃO BATISTA DA SILVA </t>
  </si>
  <si>
    <t>RICARDO RODRIGO GONÇALVES</t>
  </si>
  <si>
    <t>ADEILDO DE ARAUJO</t>
  </si>
  <si>
    <t>VALDIR FRANCISCO SANTOS</t>
  </si>
  <si>
    <t>JEAN ALEXANDRE MARTINS</t>
  </si>
  <si>
    <t>EDNALDO FELIX DE OLIVEIRA</t>
  </si>
  <si>
    <t>FRANCISCO DE OLIVEIRA</t>
  </si>
  <si>
    <t>GILMAR DE GODOY</t>
  </si>
  <si>
    <t>MARCIO ANTONIO LANDIM</t>
  </si>
  <si>
    <t>MARCILON ADAMILTON LANDIM</t>
  </si>
  <si>
    <t>PAULO CESAR CABRAL BASILIO</t>
  </si>
  <si>
    <t>PAULO CESAR DE OLIVEIRA</t>
  </si>
  <si>
    <t>LAELSON GERMANO DA ROCHA</t>
  </si>
  <si>
    <t>RICARDO DE SOUZA DE BARROS</t>
  </si>
  <si>
    <t>RODOLFO ADILSON LOPES</t>
  </si>
  <si>
    <t>GABRIEL CURSINO FERREIRA</t>
  </si>
  <si>
    <t>MAURO ROQUE DOS SANTOS</t>
  </si>
  <si>
    <t>LUIS ALBERTO C DE FREITAS</t>
  </si>
  <si>
    <t>BRENDO ARANTES</t>
  </si>
  <si>
    <t>RENATO ORTEGA GONCALVES</t>
  </si>
  <si>
    <t>VANDERLEI DONISETE BELMIRO</t>
  </si>
  <si>
    <t>JOAO VITOR PEDROSO DE OLIVEIRA</t>
  </si>
  <si>
    <t>ALEXANDRE LUIS FRANKLIN DOS SANTOS</t>
  </si>
  <si>
    <t>BRUNO CESAR DA COSTA</t>
  </si>
  <si>
    <t>JOSE MARIA JERONIMO DE SOUZA</t>
  </si>
  <si>
    <t xml:space="preserve">ROBSON DE SIQUEIRA MANCILHA   </t>
  </si>
  <si>
    <t>JOÃO VICTOR SOUZA LANDIM</t>
  </si>
  <si>
    <t>CLAUDIO DE JESUS SOUSA</t>
  </si>
  <si>
    <t xml:space="preserve">SAMUEL APARECIDO DOS S LEITE  </t>
  </si>
  <si>
    <t>DANIEL ALEXANDRE FERREIRA ROQUE</t>
  </si>
  <si>
    <t>ANTONIO DA SILVA FERREIRA</t>
  </si>
  <si>
    <t>LEDSON LUIS DOS SANTOS CARDOSO</t>
  </si>
  <si>
    <t>CLAYTON CARLOS GONCALVES DA SILVA</t>
  </si>
  <si>
    <t>PAULO CESAR NOGUEIRA</t>
  </si>
  <si>
    <t>AMAURI DA SILVA SANTOS</t>
  </si>
  <si>
    <t>AMANDO JARDIM DE JESUS</t>
  </si>
  <si>
    <t>WILLIAM AUGUSTO ALMEIDA PIRES</t>
  </si>
  <si>
    <t>DENILSON FERREIRA RODRIGUES</t>
  </si>
  <si>
    <t>BENEDITO ROGERIO DE ANDRADE</t>
  </si>
  <si>
    <t>ANTONIO FRANCISCO PEREIRA DA SILVA</t>
  </si>
  <si>
    <t>EDSON CANDIDO DE SOUZA</t>
  </si>
  <si>
    <t>ISAEL DE CARVALHO OLIVEIRA</t>
  </si>
  <si>
    <t>CARLOS ALEXANDRE DA SILVA SANTOS</t>
  </si>
  <si>
    <t>MARCOS BRITO DE JESUS</t>
  </si>
  <si>
    <t>DAVID VALERIO SILVA</t>
  </si>
  <si>
    <t>IVAN PEREIRA DOS SANTOS</t>
  </si>
  <si>
    <t>WENDEL FELIPE FERREIRA DOS SANTOS</t>
  </si>
  <si>
    <t>DARCIO COUTO SOUZA</t>
  </si>
  <si>
    <t>LEONARDO DOS SANTOS OLIVEIRA</t>
  </si>
  <si>
    <t>ERIVELTON LANDIM MEDEIROS</t>
  </si>
  <si>
    <t>JOSEMAR JOSE DA SILVA</t>
  </si>
  <si>
    <t>DOGLIMAR DOS SANTOS</t>
  </si>
  <si>
    <t>MILTON DE JESUS SANTANA</t>
  </si>
  <si>
    <t>GERSON APARECIDO DE MOURA</t>
  </si>
  <si>
    <t>IVANILSON FERNANDES SOUZA</t>
  </si>
  <si>
    <t>FABIO LUIZ FERREIRA</t>
  </si>
  <si>
    <t>DIOGO VINICIUS DE SOUSA</t>
  </si>
  <si>
    <t xml:space="preserve">EVERTON LIMA DE OLIVEIRA </t>
  </si>
  <si>
    <t>FABIANO JOSÉ DA SILVA</t>
  </si>
  <si>
    <t>JOSE MAURO DE ANDRADE</t>
  </si>
  <si>
    <t>RIAN SANTOS FRANCA DE SILVA</t>
  </si>
  <si>
    <t>PAULO EDUARDO PRICOLI</t>
  </si>
  <si>
    <t>NOTURNO</t>
  </si>
  <si>
    <t>M/A</t>
  </si>
  <si>
    <t>A</t>
  </si>
  <si>
    <t>-</t>
  </si>
  <si>
    <t>411 - Santa Cruz dos Lázaros</t>
  </si>
  <si>
    <t>400 - Vila Branca</t>
  </si>
  <si>
    <t>410 - Guararema</t>
  </si>
  <si>
    <t>FPU4236</t>
  </si>
  <si>
    <t>WENDEL CORREA BAHIA</t>
  </si>
  <si>
    <t>MONTEIRO LOBATO</t>
  </si>
  <si>
    <t>404 - Santa Branca</t>
  </si>
  <si>
    <t>305 - Floradas de São José</t>
  </si>
  <si>
    <t>106 - Bairro do Cedro</t>
  </si>
  <si>
    <t>900 - Parque Santo Antônio</t>
  </si>
  <si>
    <t>102 - Jd da Granja</t>
  </si>
  <si>
    <t>300 - Vila São Bento</t>
  </si>
  <si>
    <t>301- Campo dos Alemães</t>
  </si>
  <si>
    <t>Nome UNB</t>
  </si>
  <si>
    <t>Transportadora</t>
  </si>
  <si>
    <t>Nome Transportadora</t>
  </si>
  <si>
    <t>Data Entrega</t>
  </si>
  <si>
    <t>Roteirizado</t>
  </si>
  <si>
    <t>Nro do RoadShow</t>
  </si>
  <si>
    <t>Hora Imp Roadshow</t>
  </si>
  <si>
    <t>AS / Rota</t>
  </si>
  <si>
    <t>Armazém</t>
  </si>
  <si>
    <t>Veiculo Substituto</t>
  </si>
  <si>
    <t>Carga</t>
  </si>
  <si>
    <t>MPD</t>
  </si>
  <si>
    <t>Hora MPD</t>
  </si>
  <si>
    <t>Classificação</t>
  </si>
  <si>
    <t>Total de caixas</t>
  </si>
  <si>
    <t>% Ocupação Caixas</t>
  </si>
  <si>
    <t>% Ocupação Peso</t>
  </si>
  <si>
    <t>% Tempo</t>
  </si>
  <si>
    <t>% Eficiência</t>
  </si>
  <si>
    <t>Ação</t>
  </si>
  <si>
    <t>Mapas da Ação</t>
  </si>
  <si>
    <t>Usuario</t>
  </si>
  <si>
    <t>Data</t>
  </si>
  <si>
    <t>Hora</t>
  </si>
  <si>
    <t>Carga Atual</t>
  </si>
  <si>
    <t>Excesso</t>
  </si>
  <si>
    <t>Filial Origem</t>
  </si>
  <si>
    <t>Mapa Transbordo</t>
  </si>
  <si>
    <t xml:space="preserve">CDD SAO JOSE CAMPOS </t>
  </si>
  <si>
    <t>FADEL SOLUCOES EM LOGISTICA LTDA</t>
  </si>
  <si>
    <t>Sim</t>
  </si>
  <si>
    <t>Rota</t>
  </si>
  <si>
    <t>Truck</t>
  </si>
  <si>
    <t>Fixa</t>
  </si>
  <si>
    <t>Roterizada</t>
  </si>
  <si>
    <t>FYU7950</t>
  </si>
  <si>
    <t>Padrao</t>
  </si>
  <si>
    <t>Toco</t>
  </si>
  <si>
    <t>VUC</t>
  </si>
  <si>
    <t>Emitido</t>
  </si>
  <si>
    <t>UNB</t>
  </si>
  <si>
    <t>EAY2C80</t>
  </si>
  <si>
    <t>GRM4E34</t>
  </si>
  <si>
    <t>GBR1H82</t>
  </si>
  <si>
    <t>CPI4F14</t>
  </si>
  <si>
    <t>CPJ1685</t>
  </si>
  <si>
    <t>ORIGINAL</t>
  </si>
  <si>
    <t xml:space="preserve">FIDELIZAÇÃO </t>
  </si>
  <si>
    <t>NOKS</t>
  </si>
  <si>
    <t>Jose Gabriel Bento</t>
  </si>
  <si>
    <t>Thiago Freire</t>
  </si>
  <si>
    <t>Edson Rodolfo Da Costa</t>
  </si>
  <si>
    <t>Rodrigo De Domenico As</t>
  </si>
  <si>
    <t>Luzinaldo Pinheiro Pereira</t>
  </si>
  <si>
    <t>NOT0001</t>
  </si>
  <si>
    <t>Freteiro</t>
  </si>
  <si>
    <t>SAO JOSE DOS CAMPOS (21)</t>
  </si>
  <si>
    <t>NOT0002</t>
  </si>
  <si>
    <t>JULHO</t>
  </si>
  <si>
    <t>FKY8D58</t>
  </si>
  <si>
    <t>SAO JOSE DOS CAMPOS (20)</t>
  </si>
  <si>
    <t>FUI1I36</t>
  </si>
  <si>
    <t>Carregado</t>
  </si>
  <si>
    <t>SAO JOSE DOS CAMPOS (15)</t>
  </si>
  <si>
    <t>FBM6F39</t>
  </si>
  <si>
    <t>Noturno</t>
  </si>
  <si>
    <t>SAO JOSE DOS CAMPOS (11)</t>
  </si>
  <si>
    <t>SAO JOSE DOS CAMPOS (18)</t>
  </si>
  <si>
    <t>FUC2J74</t>
  </si>
  <si>
    <t>SAO JOSE DOS CAMPOS (12)</t>
  </si>
  <si>
    <t>SAO JOSE DOS CAMPOS (16)</t>
  </si>
  <si>
    <t>SAO JOSE DOS CAMPOS (1)</t>
  </si>
  <si>
    <t>SAO JOSE DOS CAMPOS (17)</t>
  </si>
  <si>
    <t>REC0001</t>
  </si>
  <si>
    <t>Recarga</t>
  </si>
  <si>
    <t>[SAO]: JARDIM ALVORADA (1)</t>
  </si>
  <si>
    <t>SAO JOSE DOS CAMPOS (2)</t>
  </si>
  <si>
    <t>[SAO]: JARDIM PAULISTA (1) / JARDIM NOVA MICHIGAN (1)</t>
  </si>
  <si>
    <t>0023813/0001965</t>
  </si>
  <si>
    <t>SAO JOSE DOS CAMPOS (12) / JACAREI (2)</t>
  </si>
  <si>
    <t>[SAO]: MONTE CASTELO (2) / JARDIM CASTANHEIRA (2) / BOSQUE DOS EUCALIPTOS (1) / CIDADE MORUMBI (1) / CIDADE VISTA VERDE (1) / JARDIM AMERICANO (1) / JARDIM MOTORAMA (1) / JARDIM SATELITE (1) / RESIDENCIAL BOSQUE DOS IPES (1) / RESIDENCIAL DOM BOSCO (1) / [JAC]: JARDIM DAS INDUSTRIAS (1) / RIO COMPRIDO (1)</t>
  </si>
  <si>
    <t>0021195/0000069/0031203/0028238/0035464/0038672/0041484/0039450/0010588/0038777/0002478/0009142/0030144/0029231</t>
  </si>
  <si>
    <t>SAO JOSE DOS CAMPOS (9) / MONTEIRO LOBATO (8)</t>
  </si>
  <si>
    <t>[SAO]: ALTOS DA VILA PAIVA (2) / COSTINHA (2) / FREITAS (1) / JARDIM APOLO (1) / MIRANTE DO BUQUIRINHA (1) / VILA PAIVA (1) / VERTENTES DO JAGUARI (1) / [MON]: CENTRO (8)</t>
  </si>
  <si>
    <t>0037739/0088157/0027930/0085990/0026101/0002800/0018974/0022964/0026264/0039397/0001587/0002009/0026848/0009046/0030566/0088210/0021991</t>
  </si>
  <si>
    <t>[SAO]: VILA SAO GERALDO (3) / CENTRO (2) / SANTANA (2) / VILA CANDIDA (2) / ALTO DA PONTE (1) / JARDIM BELA VISTA (1) / JARDIM ESPLANADA (1) / CHACARA HAVAI (1) / VILA SAO GERALDO (1) / AGUA DE CANIDU (1) / CHACARAS OLIVEIRAS (1)</t>
  </si>
  <si>
    <t>0086968/0034771/0038681/0030023/0002681/0025802/0027438/0086851/0000204/0037465/0038428/0033179/0034983/0032277/0035832/0009140</t>
  </si>
  <si>
    <t>[SAO]: JARDIM SANTA INES I (3) / JARDIM SAO JOSE II (3) / JARDIM SAO JOSE LESTE (2) / CONJUNTO RESIDENCIAL NOSSO TETO (2) / JARDIM AMERICANO (1) / JARDIM NOVA DETROIT (1) / PARQUE NOVO HORIZONTE (1) / PUTIM (1) / JARDIM SANTA INES III (1) / PINHEIRO DOS PALMARES 2 (1) / CONDOMINIO RESIDENCIAL CAMPO BELO (1) / LOTEAMENTO PORTAL SANTA INES (1)</t>
  </si>
  <si>
    <t>0024879/0028591/0040387/0035392/0024895/0038123/0087164/0032362/0034776/0026603/0020800/0038805/0008786/0033124/0088970/0037650/0023971/0040022</t>
  </si>
  <si>
    <t>[SAO]: CENTRO (2) / JARDIM ALTOS DE SANTANA (2) / URBANOVA (2) / VILA MARIA (2) / FREITAS (1) / JARDIM DAS INDUSTRIAS (1) / JARDIM TELESPARK (1) / PARQUE RESIDENCIAL AQUARIUS (1) / SANTANA (1) / VILA DIRCE (1) / VILA GUAIANAZES (1)</t>
  </si>
  <si>
    <t>0039239/0037797/0033492/0087098/0026141/0019268/0026679/0032829/0033879/0027617/0023898/0004113/0028451/0036030/0087627</t>
  </si>
  <si>
    <t>SAO JOSE DOS CAMPOS (14)</t>
  </si>
  <si>
    <t>[SAO]: JARDIM ALTOS DE SANTANA (6) / JARDIM MINAS GERAIS (2) / ALTO DA PONTE (1) / FREITAS (1) / JARDIM TELESPARK (1) / VILA DIRCE (1) / VILA SINHA (1) / VILA SINHA (1)</t>
  </si>
  <si>
    <t>0036905/0087781/0025949/0009723/0023459/0006930/0019583/0040112/0000549/0012486/0023123/0018098/0008950/0030290</t>
  </si>
  <si>
    <t>SAO JOSE DOS CAMPOS (17) / TAUBATE (1)</t>
  </si>
  <si>
    <t>[SAO]: CONJUNTO RESIDENCIAL GALO BRANCO (3) / MONTE CASTELO (3) / VILA TESOURO (3) / JARDIM ISMENIA (2) / CENTRO (1) / JARDIM AUGUSTA (1) / VILA INDUSTRIAL (1) / VILA MARIA (1) / VILA ESTER (1) / JD SAO JOSE (1) / [TAU]: CECAP (1)</t>
  </si>
  <si>
    <t>0023907/0041094/0024425/0008898/0035336/0039751/0019589/0038090/0025542/0024078/0040981/0041330/0040376/0025224/0000390/0001939/0005249/0037082</t>
  </si>
  <si>
    <t>[SAO]: URBANOVA (7) / JARDIM ESPLANADA (4) / JARDIM SAO DIMAS (3) / JARDIM NOVA AMERICA (3) / CENTRO (1) / JARDIM ESPLANADA II (1) / VILA ADYANA (1) / VILA BETANIA (1)</t>
  </si>
  <si>
    <t>0087025/0019253/0003479/0022336/0025907/0006937/0032899/0087262/0002394/0024798/0025421/0020716/0008764/0038991/0041155/0019796/0039236/0040250/0007748/0024770/0008033</t>
  </si>
  <si>
    <t>SAO JOSE DOS CAMPOS (10) / PARAIBUNA (5) / JAMBEIRO (2)</t>
  </si>
  <si>
    <t>[SAO]: JARDIM SAO JUDAS TADEU (2) / JARDIM LIMOEIRO (1) / PUTIM (1) / VILA NAIR (1) / JARDIM SANTA LUZIA (1) / JARDIM SANTO ONOFRE (1) / JARDIM SAO LEOPOLDO (1) / RESIDENCIAL PINHEIRINHO DOS PALMARES II (1) / SANTO ONOFRE (1) / [PAR]: CENTRO (2) / BELA VISTA (1) / ESTRADA (1) / FARTURA (1) / [JAM]: CENTRO (2)</t>
  </si>
  <si>
    <t>0002387/0007074/0027321/0027554/0020672/0019973/0035465/0041378/0021404/0086140/0025151/0010212/0031892/0087914/0008745/0041524/0021872</t>
  </si>
  <si>
    <t>IGARATA (9) / JACAREI (1)</t>
  </si>
  <si>
    <t>[IGA]: CENTRO (6) / BONSUCESSO (1) / BOA VISTA (1) / IGARATA (1) / [JAC]: CHACARAS REUNIDAS IGARAPES (1)</t>
  </si>
  <si>
    <t>0035903/0038118/0040434/0001780/0088093/0034039/0023323/0029866/0005709/0039230</t>
  </si>
  <si>
    <t>SANTA ISABEL (11) / IGARATA (7)</t>
  </si>
  <si>
    <t>[SAN]: CENTRO (6) / JD VISTA VERDE (1) / POUSO ALEGRE (1) / JARDIM VISTA VERDE (1) / JAGUARI (1) / POUSO ALEGRE (1) / [IGA]: CENTRO (5) / CONJ MIRANTE (1) / JARDIM ROSA HELENA (1)</t>
  </si>
  <si>
    <t>0010670/0027787/0033056/0001787/0030170/0088386/0025276/0007387/0025366/0028220/0011080/0035854/0018155/0033294/0001010/0001415/0087527/0035656</t>
  </si>
  <si>
    <t>SAO JOSE DOS CAMPOS (25)</t>
  </si>
  <si>
    <t>[SAO]: JARDIM SANTA INES I (5) / JARDIM SANTA INES II (5) / JARDIM NOVA DETROIT (3) / JARDIM PARARANGABA (3) / JARDIM SAO VICENTE (3) / JARDIM SAO JOSE II (2) / EUGENIO DE MELLO (1) / JARDIM SAO JOSE LESTE (1) / RESIDENCIAL FREI GALVAO (1) / JD SAO JOSE (1)</t>
  </si>
  <si>
    <t>0007776/0021473/0037614/0018231/0033141/0004161/0009798/0041191/0004220/0024123/0000727/0002784/0038875/0007276/0088337/0007658/0040679/0037334/0030079/0010523/0040139/0001282/0004974/0038198/0036027</t>
  </si>
  <si>
    <t>JACAREI (11)</t>
  </si>
  <si>
    <t>[JAC]: JARDIM FLORIDA (3) / JARDIM SANTO ANTONIO DA BOA VISTA (2) / JARDIM DO VALE (1) / JARDIM PRIMAVERA (1) / JARDIM SANTA MARIA (1) / PARQUE ITAMARATI (1) / VILA PINHEIRO (1) / JARDIM NOVO AMANHECER (1)</t>
  </si>
  <si>
    <t>0024533/0001596/0022354/0030124/0018915/0003286/0006936/0088790/0002209/0039580/0041446</t>
  </si>
  <si>
    <t>[SAO]: JARDIM DAS COLINAS (4) / SANTANA (3) / VILA EMA (2) / CENTRO (1) / JARDIM PAULISTA (1) / PARQUE RESIDENCIAL AQUARIUS (1) / URBANOVA (1) / JARDIM OSWALDO CRUZ (1)</t>
  </si>
  <si>
    <t>0028791/0032234/0012514/0039403/0034911/0034320/0002345/0000265/0000293/0027695/0001727/0012484/0036408/0023648</t>
  </si>
  <si>
    <t>CPJ1G85</t>
  </si>
  <si>
    <t>GUARAREMA (1) / JACAREI (1)</t>
  </si>
  <si>
    <t>[GUA]: ITAPEMA (1) / [JAC]: CIDADE NOVA JACAREI (1)</t>
  </si>
  <si>
    <t>0002719/0087876</t>
  </si>
  <si>
    <t>SAO JOSE DOS CAMPOS (13)</t>
  </si>
  <si>
    <t>[SAO]: JARDIM AMERICA (4) / PARQUE INDUSTRIAL (3) / JARDIM ORIENTE (2) / CHACARAS REUNIDAS (1) / CIDADE MORUMBI (1) / RIO CUMPRIDO DE SJC RUA NOVA ESPERANCA (1) / RIO COMPRIDO (1)</t>
  </si>
  <si>
    <t>0032322/0087229/0030131/0028919/0019200/0086207/0033132/0039863/0028358/0040078/0003415/0040800/0018746</t>
  </si>
  <si>
    <t>SANTA ISABEL (6) / JACAREI (3) / GUARAREMA (1)</t>
  </si>
  <si>
    <t>[SAN]: CENTRO (1) / VL GUMERCINDO (1) / ELDORADO (1) / CRUZEIRO (1) / RESIDENCIAL SAO JOAO (1) / JARDIM DE PORTUGAL (1) / [JAC]: CHACARAS REUNIDAS IGARAPES (2) / CENTRO (1) / [GUA]: GUARAREMA (1)</t>
  </si>
  <si>
    <t>0024339/0025761/0030759/0019870/0010243/0028122/0025993/0033585/0029835/0040912</t>
  </si>
  <si>
    <t>[SAO]: JARDIM DAS INDUSTRIAS (6) / PARQUE RESIDENCIAL AQUARIUS (4) / JARDIM ALVORADA (2) / JARDIM LIMOEIRO (1)</t>
  </si>
  <si>
    <t>0024448/0040349/0002824/0029681/0006970/0024805/0038918/0027754/0031167/0012736/0023504/0003903/0022268</t>
  </si>
  <si>
    <t>SANTA ISABEL (9)</t>
  </si>
  <si>
    <t>[SAN]: CENTRO (5) / CRUZEIRO (1) / VILA NOVA (1) / TEVO (1) / CRUZEIRO (1)</t>
  </si>
  <si>
    <t>0039970/0030771/0021967/0001542/0001713/0038654/0033066/0024140/0024147</t>
  </si>
  <si>
    <t>[SAO]: JARDIM ALVORADA (1) / PARQUE INDUSTRIAL (1)</t>
  </si>
  <si>
    <t>0002659/0039683</t>
  </si>
  <si>
    <t>[SAO]: PARQUE RESIDENCIAL AQUARIUS (2) / VILA CRISTINA (2) / VILA ROSSI (2) / VILA RANGEL (2) / JARDIM AQUARIUS (1) / SANTANA (1) / VILA NAIR (1) / VILA SINHA (1)</t>
  </si>
  <si>
    <t>0023928/0006658/0019954/0010268/0027130/0002148/0038377/0001723/0019153/0023925/0032000/0011496</t>
  </si>
  <si>
    <t>[SAO]: RESIDENCIAL UNIAO (2) / CIDADE MORUMBI (1) / CONJUNTO RESIDENCIAL TRINTA E UM DE MARCO (1) / JARDIM COLONIAL (1) / JARDIM VALE DO SOL (1) / JARDIM CRUZEIRO DO SUL (1) / ELDORADO (1) / JARDIM NOVA REPUBLICA (1) / LOTEAMENTO SANTA EDWIGES (1) / CONJUNTO RESIDENCIAL ELMANO VELOSO (1)</t>
  </si>
  <si>
    <t>0001504/0025631/0027215/0034160/0019832/0027711/0036074/0037698/0039540/0033561/0011393</t>
  </si>
  <si>
    <t>JACAREI (14)</t>
  </si>
  <si>
    <t>[JAC]: JARDIM SANTA MARIA (7) / JARDIM ALVORADA (1) / JARDIM BELA VISTA (1) / JARDIM CALIFORNIA (1) / JARDIM MARCONDES (1) / SANTA CRUZ DOS LAZAROS (1) / RESIDENCIAL PARQUE DOS SINOS (1) / RES PARQUE DOS SINOS (1)</t>
  </si>
  <si>
    <t>0003765/0035073/0020571/0030685/0039234/0087681/0032679/0019437/0040928/0036238/0023707/0023538/0029479/0040321</t>
  </si>
  <si>
    <t>[SAO]: PARQUE RESIDENCIAL FLAMBOYANT (5) / JARDIM UIRA (3) / JARDIM SAO JUDAS TADEU (1) / PUTIM (1) / RESIDENCIAL SAO FRANCISCO (1) / JARDIM SOUTO (1) / JARDIM COLORADO (1) / JARDIM SANTA ROSA (1) / JARDIM DO LAGO (1) / CONDOMINIO RESIDENCIAL BELL PA (1) / PARQUE SANTA RITA (1)</t>
  </si>
  <si>
    <t>0037916/0041110/0029920/0020691/0034521/0019712/0007393/0000686/0035087/0038794/0037724/0034633/0038232/0020389/0038970/0006087/0023076</t>
  </si>
  <si>
    <t>JACAREI (10)</t>
  </si>
  <si>
    <t>[JAC]: JARDIM CALIFORNIA (3) / JARDIM SANTA MARIA (3) / CHACARAS REUNIDAS IGARAPES (1) / CHACARAS RURAIS SANTA MARIA (1) / JARDIM DAS INDUSTRIAS (1) / JARDIM MARCONDES (1)</t>
  </si>
  <si>
    <t>0004048/0034400/0036104/0005542/0086716/0040746/0035504/0020341/0034450/0006474</t>
  </si>
  <si>
    <t>SAO JOSE DOS CAMPOS (10)</t>
  </si>
  <si>
    <t>[SAO]: JARDIM DAS CEREJEIRAS (3) / JARDIM MOTORAMA (2) / JARDIM PARARANGABA (1) / JARDIM SAO JOSE LESTE (1) / RESIDENCIAL DOM BOSCO (1) / JARDIM SANTA INES II (1) / RESIDENCIAL FREI GALVAO (1)</t>
  </si>
  <si>
    <t>0021377/0039242/0025832/0004144/0010015/0024297/0031515/0002932/0007851/0041098</t>
  </si>
  <si>
    <t>[SAO]: CAMPOS DE SAO JOSE (8) / PARQUE NOVA ESPERANCA (2) / JARDIM MARIANA II (2) / JARDIM SANTA JULIA (2) / CENTRO (1) / JARDIM DAS CEREJEIRAS (1) / JARDIM DAS INDUSTRIAS (1) / PUTIM (1) / JARDIM SANTA LUZIA (1) / JARDIM MARIANA I (1)</t>
  </si>
  <si>
    <t>0041384/0037594/0087177/0032481/0010371/0002139/0021853/0089064/0030127/0021229/0040873/0041514/0037801/0031837/0026580/0088367/0086865/0038230/0039080/0023008</t>
  </si>
  <si>
    <t>PPV6501</t>
  </si>
  <si>
    <t>[SAO]: BOSQUE DOS EUCALIPTOS (14) / JARDIM SATELITE (6) / JARDIM PORTUGAL (1)</t>
  </si>
  <si>
    <t>0020829/0039755/0039756/0040000/0018200/0020637/0021125/0029374/0008125/0012626/0002847/0040046/0004740/0035993/0035701/0001967/0040885/0020739/0011693/0001016/0003024</t>
  </si>
  <si>
    <t>GUARAREMA (20) / JACAREI (2)</t>
  </si>
  <si>
    <t>[GUA]: CENTRO (16) / IPIRANGA (1) / NOGUEIRA (1) / ESTANCIA GUARAREMA (1) / LAGOA NOVA (1) / [JAC]: JARDIM ESPERANCA (1) / JARDIM NOVA ESPERANCA (1)</t>
  </si>
  <si>
    <t>0038859/0040072/0038892/0033184/0002385/0030241/0029348/0089034/0018424/0002239/0006094/0006614/0007888/0037004/0029358/0018505/0036722/0027323/0020615/0039020/0038636/0012759</t>
  </si>
  <si>
    <t>JACAREI (6) / SAO JOSE DOS CAMPOS (6)</t>
  </si>
  <si>
    <t>[JAC]: LOTEAMENTO VILLA BRANCA (5) / JARDIM RIO COMPRIDO (1) / [SAO]: PARQUE INDUSTRIAL (4) / CONJUNTO RESIDENCIAL TRINTA E UM DE MARCO (1) / RESIDENCIAL UNIAO (1)</t>
  </si>
  <si>
    <t>0023461/0037593/0039914/0087128/0038876/0039427/0008777/0002761/0037297/0007320/0040628/0002929</t>
  </si>
  <si>
    <t>[SAO]: CONJUNTO RESIDENCIAL DOM PEDRO (4) / JARDIM TORRAO DE OURO (4) / CONJUNTO RESIDENCIAL DOM PEDRO I (2) / JARDIM COLONIAL (2) / JARDIM CRUZEIRO DO SUL (1) / VILA DAS FLORES (1) / TORRAO DE OURO II (1)</t>
  </si>
  <si>
    <t>0088647/0041438/0041562/0040410/0023792/0040296/0018261/0029662/0020335/0036205/0006838/0001792/0009480/0018123/0036637</t>
  </si>
  <si>
    <t>EJZ6I26</t>
  </si>
  <si>
    <t>JACAREI (20)</t>
  </si>
  <si>
    <t>[JAC]: CENTRO (12) / JARDIM CALIFORNIA (2) / PARQUE SANTO ANTONIO (2) / CIDADE JARDIM (1) / JARDIM PRIMAVERA (1) / JARDIM SANTA MARIA (1) / PARQUE CALIFORNIA (1)</t>
  </si>
  <si>
    <t>0001615/0025236/0003042/0004669/0002634/0026845/0018489/0034835/0004745/0003371/0033870/0000982/0020780/0035063/0027622/0034319/0006226/0027982/0033358/0034842</t>
  </si>
  <si>
    <t>[SAO]: BOSQUE DOS EUCALIPTOS (6) / JARDIM ORIENTE (5) / CAMPO DOS ALEMAES (3) / JARDIM PORTUGAL (2) / JARDIM TERRAS DO SUL (2) / PARQUE DOS IPES (1) / JARDIM DEL REY (1)</t>
  </si>
  <si>
    <t>0012710/0032786/0009203/0036762/0026034/0041048/0021837/0018588/0037760/0028369/0008899/0020265/0024240/0027800/0025411/0088053/0036130/0036774/0040077/0000364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</si>
</sst>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name val="Arial"/>
      <family val="2"/>
    </font>
    <font>
      <b/>
      <sz val="11"/>
      <name val="Aptos Narrow"/>
      <family val="2"/>
      <scheme val="minor"/>
    </font>
    <font>
      <b/>
      <sz val="10"/>
      <name val="Arial"/>
      <family val="2"/>
    </font>
    <font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8"/>
      <name val="Aptos Narrow"/>
      <family val="2"/>
      <scheme val="minor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26"/>
      <name val="Arial"/>
      <family val="2"/>
    </font>
    <font>
      <b/>
      <sz val="8"/>
      <color theme="0"/>
      <name val="Aptos Narrow"/>
      <family val="2"/>
      <scheme val="minor"/>
    </font>
    <font>
      <sz val="2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0"/>
      <color theme="1"/>
      <name val="Calibri"/>
      <family val="2"/>
    </font>
    <font>
      <sz val="10"/>
      <color theme="0"/>
      <name val="Calibri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20"/>
      <name val="Aptos Display"/>
      <family val="2"/>
      <scheme val="major"/>
    </font>
    <font>
      <sz val="20"/>
      <name val="Aptos Display"/>
      <scheme val="major"/>
    </font>
    <font>
      <sz val="12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26"/>
      <color theme="0"/>
      <name val="Calibri"/>
      <family val="2"/>
    </font>
    <font>
      <b/>
      <sz val="24"/>
      <color theme="0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2"/>
      <color theme="0"/>
      <name val="Arial"/>
      <family val="2"/>
    </font>
    <font>
      <sz val="24"/>
      <name val="Aptos Narrow"/>
      <family val="2"/>
      <scheme val="minor"/>
    </font>
    <font>
      <b/>
      <sz val="20"/>
      <name val="Aptos Display"/>
      <scheme val="major"/>
    </font>
  </fonts>
  <fills count="24">
    <fill>
      <patternFill patternType="none"/>
    </fill>
    <fill>
      <patternFill patternType="gray125"/>
    </fill>
    <fill>
      <patternFill patternType="solid">
        <fgColor theme="3" tint="0.39997558519241921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8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66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4" fillId="0" borderId="0"/>
    <xf numFmtId="0" fontId="4" fillId="0" borderId="0"/>
    <xf numFmtId="0" fontId="4" fillId="0" borderId="0"/>
    <xf numFmtId="0" fontId="7" fillId="0" borderId="0"/>
    <xf numFmtId="9" fontId="29" fillId="0" borderId="0" applyFon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 wrapText="1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4" fillId="0" borderId="0" xfId="0" applyFont="1"/>
    <xf numFmtId="0" fontId="6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0" borderId="1" xfId="2" applyBorder="1" applyAlignment="1">
      <alignment horizontal="left" vertical="center"/>
    </xf>
    <xf numFmtId="0" fontId="4" fillId="3" borderId="0" xfId="0" applyFont="1" applyFill="1" applyAlignment="1">
      <alignment horizontal="center"/>
    </xf>
    <xf numFmtId="0" fontId="4" fillId="0" borderId="0" xfId="2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3" applyAlignment="1">
      <alignment horizontal="left" vertical="center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left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20" fontId="4" fillId="0" borderId="0" xfId="0" applyNumberFormat="1" applyFont="1"/>
    <xf numFmtId="0" fontId="4" fillId="3" borderId="1" xfId="2" applyFill="1" applyBorder="1" applyAlignment="1">
      <alignment horizontal="left"/>
    </xf>
    <xf numFmtId="0" fontId="4" fillId="3" borderId="3" xfId="0" applyFont="1" applyFill="1" applyBorder="1" applyAlignment="1">
      <alignment horizontal="center" vertical="center"/>
    </xf>
    <xf numFmtId="0" fontId="4" fillId="3" borderId="1" xfId="2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2" fillId="0" borderId="1" xfId="2" applyFont="1" applyBorder="1" applyAlignment="1">
      <alignment horizontal="left" vertical="center"/>
    </xf>
    <xf numFmtId="14" fontId="12" fillId="0" borderId="1" xfId="2" applyNumberFormat="1" applyFont="1" applyBorder="1" applyAlignment="1">
      <alignment horizontal="left" vertical="center"/>
    </xf>
    <xf numFmtId="1" fontId="12" fillId="0" borderId="1" xfId="2" applyNumberFormat="1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2" fillId="0" borderId="0" xfId="2" applyFont="1" applyAlignment="1">
      <alignment horizontal="center" vertical="center"/>
    </xf>
    <xf numFmtId="0" fontId="12" fillId="3" borderId="0" xfId="0" applyFont="1" applyFill="1" applyAlignment="1">
      <alignment horizontal="center"/>
    </xf>
    <xf numFmtId="0" fontId="14" fillId="0" borderId="0" xfId="2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0" xfId="3" applyFont="1" applyAlignment="1">
      <alignment horizontal="left" vertical="center"/>
    </xf>
    <xf numFmtId="0" fontId="12" fillId="0" borderId="0" xfId="0" applyFont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2" fillId="3" borderId="0" xfId="2" applyFont="1" applyFill="1" applyAlignment="1">
      <alignment horizontal="center" vertical="center"/>
    </xf>
    <xf numFmtId="0" fontId="12" fillId="3" borderId="1" xfId="2" applyFont="1" applyFill="1" applyBorder="1" applyAlignment="1">
      <alignment horizontal="center" vertical="center"/>
    </xf>
    <xf numFmtId="0" fontId="12" fillId="3" borderId="0" xfId="0" applyFont="1" applyFill="1" applyAlignment="1">
      <alignment horizontal="left"/>
    </xf>
    <xf numFmtId="0" fontId="11" fillId="2" borderId="4" xfId="0" applyFont="1" applyFill="1" applyBorder="1" applyAlignment="1">
      <alignment horizontal="center" vertical="center"/>
    </xf>
    <xf numFmtId="0" fontId="12" fillId="3" borderId="1" xfId="2" applyFont="1" applyFill="1" applyBorder="1" applyAlignment="1">
      <alignment horizontal="left"/>
    </xf>
    <xf numFmtId="0" fontId="12" fillId="3" borderId="1" xfId="2" applyFont="1" applyFill="1" applyBorder="1" applyAlignment="1">
      <alignment horizontal="left" vertical="center"/>
    </xf>
    <xf numFmtId="0" fontId="1" fillId="5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22" fontId="4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" fontId="1" fillId="7" borderId="1" xfId="0" applyNumberFormat="1" applyFont="1" applyFill="1" applyBorder="1" applyAlignment="1">
      <alignment horizontal="center" vertical="center"/>
    </xf>
    <xf numFmtId="0" fontId="0" fillId="14" borderId="1" xfId="0" applyFill="1" applyBorder="1"/>
    <xf numFmtId="20" fontId="0" fillId="1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4" fontId="19" fillId="0" borderId="0" xfId="0" applyNumberFormat="1" applyFont="1"/>
    <xf numFmtId="14" fontId="19" fillId="0" borderId="0" xfId="0" applyNumberFormat="1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9" fillId="17" borderId="0" xfId="0" applyFont="1" applyFill="1" applyAlignment="1">
      <alignment horizontal="center"/>
    </xf>
    <xf numFmtId="0" fontId="12" fillId="16" borderId="1" xfId="2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12" fillId="18" borderId="1" xfId="2" applyFont="1" applyFill="1" applyBorder="1" applyAlignment="1">
      <alignment horizontal="left" vertical="center"/>
    </xf>
    <xf numFmtId="0" fontId="12" fillId="18" borderId="1" xfId="0" applyFont="1" applyFill="1" applyBorder="1" applyAlignment="1">
      <alignment horizontal="left" vertical="top"/>
    </xf>
    <xf numFmtId="0" fontId="32" fillId="4" borderId="0" xfId="0" applyFont="1" applyFill="1" applyAlignment="1">
      <alignment horizontal="center" vertical="center" wrapText="1"/>
    </xf>
    <xf numFmtId="9" fontId="31" fillId="19" borderId="0" xfId="5" applyFont="1" applyFill="1" applyAlignment="1">
      <alignment horizontal="center" vertical="center" wrapText="1"/>
    </xf>
    <xf numFmtId="0" fontId="31" fillId="1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22" fillId="18" borderId="0" xfId="1" applyFont="1" applyFill="1" applyAlignment="1">
      <alignment horizontal="center" vertical="center"/>
    </xf>
    <xf numFmtId="0" fontId="23" fillId="18" borderId="0" xfId="0" applyFont="1" applyFill="1" applyAlignment="1">
      <alignment vertical="center"/>
    </xf>
    <xf numFmtId="0" fontId="0" fillId="20" borderId="0" xfId="0" applyFill="1" applyAlignment="1">
      <alignment horizontal="center" vertical="center"/>
    </xf>
    <xf numFmtId="0" fontId="22" fillId="20" borderId="0" xfId="1" applyFont="1" applyFill="1" applyAlignment="1">
      <alignment horizontal="center" vertical="center"/>
    </xf>
    <xf numFmtId="0" fontId="23" fillId="20" borderId="0" xfId="0" applyFont="1" applyFill="1" applyAlignment="1">
      <alignment vertical="center"/>
    </xf>
    <xf numFmtId="0" fontId="22" fillId="20" borderId="0" xfId="0" applyFont="1" applyFill="1" applyAlignment="1">
      <alignment horizontal="center" vertical="center"/>
    </xf>
    <xf numFmtId="14" fontId="20" fillId="0" borderId="0" xfId="0" applyNumberFormat="1" applyFont="1" applyAlignment="1">
      <alignment horizontal="center"/>
    </xf>
    <xf numFmtId="0" fontId="17" fillId="18" borderId="0" xfId="0" applyFont="1" applyFill="1" applyAlignment="1">
      <alignment horizontal="center" vertical="center" wrapText="1"/>
    </xf>
    <xf numFmtId="0" fontId="8" fillId="18" borderId="0" xfId="0" applyFont="1" applyFill="1" applyAlignment="1">
      <alignment horizontal="center" vertical="center" wrapText="1"/>
    </xf>
    <xf numFmtId="0" fontId="17" fillId="20" borderId="0" xfId="0" applyFont="1" applyFill="1" applyAlignment="1">
      <alignment horizontal="center" vertical="center" wrapText="1"/>
    </xf>
    <xf numFmtId="0" fontId="8" fillId="20" borderId="0" xfId="0" applyFont="1" applyFill="1" applyAlignment="1">
      <alignment horizontal="center" vertical="center" wrapText="1"/>
    </xf>
    <xf numFmtId="0" fontId="22" fillId="18" borderId="0" xfId="3" applyFont="1" applyFill="1" applyAlignment="1">
      <alignment horizontal="center" vertical="center"/>
    </xf>
    <xf numFmtId="0" fontId="22" fillId="18" borderId="0" xfId="0" applyFont="1" applyFill="1" applyAlignment="1">
      <alignment horizontal="center" vertical="center"/>
    </xf>
    <xf numFmtId="14" fontId="0" fillId="0" borderId="0" xfId="0" applyNumberFormat="1"/>
    <xf numFmtId="21" fontId="0" fillId="0" borderId="0" xfId="0" applyNumberFormat="1"/>
    <xf numFmtId="20" fontId="0" fillId="0" borderId="0" xfId="0" applyNumberFormat="1"/>
    <xf numFmtId="0" fontId="2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49" fontId="17" fillId="0" borderId="0" xfId="0" applyNumberFormat="1" applyFont="1" applyAlignment="1">
      <alignment horizontal="center" vertical="center" wrapText="1"/>
    </xf>
    <xf numFmtId="164" fontId="17" fillId="0" borderId="0" xfId="0" applyNumberFormat="1" applyFont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22" fillId="0" borderId="0" xfId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22" fillId="0" borderId="0" xfId="3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27" fillId="0" borderId="0" xfId="2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3" fillId="18" borderId="0" xfId="0" applyFont="1" applyFill="1" applyAlignment="1">
      <alignment horizontal="center" vertical="center"/>
    </xf>
    <xf numFmtId="0" fontId="22" fillId="20" borderId="0" xfId="2" applyFont="1" applyFill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1" xfId="3" applyBorder="1" applyAlignment="1">
      <alignment horizontal="left" vertical="center"/>
    </xf>
    <xf numFmtId="0" fontId="4" fillId="0" borderId="1" xfId="2" applyBorder="1" applyAlignment="1">
      <alignment vertical="center"/>
    </xf>
    <xf numFmtId="0" fontId="4" fillId="0" borderId="1" xfId="0" applyFont="1" applyBorder="1" applyAlignment="1">
      <alignment horizontal="left"/>
    </xf>
    <xf numFmtId="0" fontId="4" fillId="0" borderId="1" xfId="2" applyBorder="1"/>
    <xf numFmtId="0" fontId="4" fillId="0" borderId="1" xfId="0" applyFont="1" applyBorder="1" applyAlignment="1">
      <alignment horizontal="left" vertical="top"/>
    </xf>
    <xf numFmtId="0" fontId="4" fillId="0" borderId="1" xfId="0" applyFont="1" applyBorder="1"/>
    <xf numFmtId="0" fontId="4" fillId="0" borderId="2" xfId="3" applyBorder="1" applyAlignment="1">
      <alignment horizontal="left" vertical="top"/>
    </xf>
    <xf numFmtId="0" fontId="4" fillId="0" borderId="2" xfId="2" applyBorder="1" applyAlignment="1">
      <alignment horizontal="left" vertical="top"/>
    </xf>
    <xf numFmtId="0" fontId="4" fillId="0" borderId="2" xfId="0" applyFont="1" applyBorder="1" applyAlignment="1">
      <alignment horizontal="left" vertical="center"/>
    </xf>
    <xf numFmtId="0" fontId="4" fillId="0" borderId="2" xfId="2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top"/>
    </xf>
    <xf numFmtId="0" fontId="4" fillId="0" borderId="0" xfId="0" applyFont="1" applyAlignment="1">
      <alignment horizontal="left"/>
    </xf>
    <xf numFmtId="0" fontId="4" fillId="0" borderId="2" xfId="2" applyBorder="1" applyAlignment="1">
      <alignment vertical="center"/>
    </xf>
    <xf numFmtId="0" fontId="34" fillId="4" borderId="0" xfId="0" applyFont="1" applyFill="1" applyAlignment="1">
      <alignment horizontal="center" vertical="center" wrapText="1"/>
    </xf>
    <xf numFmtId="0" fontId="35" fillId="18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37" fillId="21" borderId="0" xfId="1" applyFont="1" applyFill="1" applyAlignment="1">
      <alignment horizontal="center" vertical="center"/>
    </xf>
    <xf numFmtId="0" fontId="37" fillId="21" borderId="0" xfId="3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 wrapText="1"/>
    </xf>
    <xf numFmtId="49" fontId="8" fillId="18" borderId="0" xfId="0" applyNumberFormat="1" applyFont="1" applyFill="1" applyAlignment="1">
      <alignment horizontal="center" vertical="center" wrapText="1"/>
    </xf>
    <xf numFmtId="164" fontId="8" fillId="18" borderId="0" xfId="0" applyNumberFormat="1" applyFont="1" applyFill="1" applyAlignment="1">
      <alignment horizontal="center" vertical="center" wrapText="1"/>
    </xf>
    <xf numFmtId="0" fontId="22" fillId="18" borderId="0" xfId="2" applyFont="1" applyFill="1" applyAlignment="1">
      <alignment horizontal="center" vertical="center"/>
    </xf>
    <xf numFmtId="0" fontId="28" fillId="18" borderId="0" xfId="0" applyFont="1" applyFill="1" applyAlignment="1">
      <alignment horizontal="center" vertical="center" wrapText="1"/>
    </xf>
    <xf numFmtId="49" fontId="17" fillId="18" borderId="0" xfId="0" applyNumberFormat="1" applyFont="1" applyFill="1" applyAlignment="1">
      <alignment horizontal="center" vertical="center" wrapText="1"/>
    </xf>
    <xf numFmtId="164" fontId="17" fillId="18" borderId="0" xfId="0" applyNumberFormat="1" applyFont="1" applyFill="1" applyAlignment="1">
      <alignment horizontal="center" vertical="center" wrapText="1"/>
    </xf>
    <xf numFmtId="0" fontId="8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22" borderId="0" xfId="0" applyFont="1" applyFill="1" applyAlignment="1">
      <alignment horizontal="center" vertical="center" wrapText="1"/>
    </xf>
    <xf numFmtId="0" fontId="22" fillId="22" borderId="0" xfId="3" applyFont="1" applyFill="1" applyAlignment="1">
      <alignment horizontal="center" vertical="center"/>
    </xf>
    <xf numFmtId="0" fontId="22" fillId="20" borderId="0" xfId="3" applyFont="1" applyFill="1" applyAlignment="1">
      <alignment horizontal="center" vertical="center"/>
    </xf>
    <xf numFmtId="0" fontId="4" fillId="0" borderId="1" xfId="3" applyBorder="1" applyAlignment="1">
      <alignment horizontal="left"/>
    </xf>
    <xf numFmtId="0" fontId="35" fillId="0" borderId="0" xfId="0" applyFont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36" fillId="18" borderId="0" xfId="0" applyFont="1" applyFill="1" applyAlignment="1">
      <alignment horizontal="center" vertical="center" wrapText="1"/>
    </xf>
    <xf numFmtId="0" fontId="17" fillId="23" borderId="0" xfId="0" applyFont="1" applyFill="1" applyAlignment="1">
      <alignment horizontal="center" vertical="center" wrapText="1"/>
    </xf>
    <xf numFmtId="0" fontId="28" fillId="23" borderId="0" xfId="0" applyFont="1" applyFill="1" applyAlignment="1">
      <alignment horizontal="center" vertical="center" wrapText="1"/>
    </xf>
    <xf numFmtId="49" fontId="17" fillId="23" borderId="0" xfId="0" applyNumberFormat="1" applyFont="1" applyFill="1" applyAlignment="1">
      <alignment horizontal="center" vertical="center" wrapText="1"/>
    </xf>
    <xf numFmtId="164" fontId="17" fillId="23" borderId="0" xfId="0" applyNumberFormat="1" applyFont="1" applyFill="1" applyAlignment="1">
      <alignment horizontal="center" vertical="center" wrapText="1"/>
    </xf>
    <xf numFmtId="0" fontId="35" fillId="23" borderId="0" xfId="0" applyFont="1" applyFill="1" applyAlignment="1">
      <alignment horizontal="center" vertical="center"/>
    </xf>
    <xf numFmtId="0" fontId="8" fillId="23" borderId="0" xfId="0" applyFont="1" applyFill="1" applyAlignment="1">
      <alignment horizontal="center" vertical="center" wrapText="1"/>
    </xf>
    <xf numFmtId="0" fontId="0" fillId="23" borderId="0" xfId="0" applyFill="1" applyAlignment="1">
      <alignment horizontal="center" vertical="center"/>
    </xf>
    <xf numFmtId="0" fontId="22" fillId="23" borderId="0" xfId="0" applyFont="1" applyFill="1" applyAlignment="1">
      <alignment horizontal="center" vertical="center"/>
    </xf>
    <xf numFmtId="0" fontId="22" fillId="23" borderId="0" xfId="2" applyFont="1" applyFill="1" applyAlignment="1">
      <alignment horizontal="center" vertical="center"/>
    </xf>
    <xf numFmtId="0" fontId="23" fillId="23" borderId="0" xfId="0" applyFont="1" applyFill="1" applyAlignment="1">
      <alignment vertical="center"/>
    </xf>
    <xf numFmtId="0" fontId="22" fillId="23" borderId="0" xfId="1" applyFont="1" applyFill="1" applyAlignment="1">
      <alignment horizontal="center" vertical="center"/>
    </xf>
    <xf numFmtId="0" fontId="26" fillId="18" borderId="0" xfId="2" applyFont="1" applyFill="1" applyAlignment="1">
      <alignment horizontal="center" vertical="center"/>
    </xf>
    <xf numFmtId="0" fontId="4" fillId="16" borderId="1" xfId="3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2" xfId="2" applyFill="1" applyBorder="1" applyAlignment="1">
      <alignment horizontal="left" vertical="center"/>
    </xf>
    <xf numFmtId="0" fontId="39" fillId="0" borderId="0" xfId="2" applyFont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textRotation="90"/>
    </xf>
    <xf numFmtId="0" fontId="33" fillId="11" borderId="0" xfId="0" applyFont="1" applyFill="1" applyAlignment="1">
      <alignment horizontal="center" vertical="center"/>
    </xf>
    <xf numFmtId="0" fontId="18" fillId="15" borderId="1" xfId="0" applyFont="1" applyFill="1" applyBorder="1" applyAlignment="1">
      <alignment horizontal="center" vertical="center"/>
    </xf>
    <xf numFmtId="0" fontId="18" fillId="15" borderId="7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</cellXfs>
  <cellStyles count="6">
    <cellStyle name="Normal" xfId="0" builtinId="0"/>
    <cellStyle name="Normal 2" xfId="4" xr:uid="{DAE33988-8385-4938-B7CC-D6803B536B53}"/>
    <cellStyle name="Normal 3" xfId="2" xr:uid="{A680BB8C-BF6B-4893-AA30-DC6B74A26FFA}"/>
    <cellStyle name="Normal 4" xfId="3" xr:uid="{4250A4FB-EECD-41C4-AE55-07410E618C95}"/>
    <cellStyle name="Normal 6" xfId="1" xr:uid="{9A3A364F-AF5A-4719-A5E9-8D6E55BCFC28}"/>
    <cellStyle name="Porcentagem" xfId="5" builtinId="5"/>
  </cellStyles>
  <dxfs count="8828"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FFC7CE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color theme="4"/>
      </font>
      <fill>
        <patternFill>
          <bgColor theme="4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9966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Aptos Narrow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CC99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2D050"/>
      </font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6600"/>
      <color rgb="FFCC9900"/>
      <color rgb="FFFF5050"/>
      <color rgb="FF9933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104081</xdr:colOff>
      <xdr:row>1</xdr:row>
      <xdr:rowOff>270877</xdr:rowOff>
    </xdr:from>
    <xdr:to>
      <xdr:col>1</xdr:col>
      <xdr:colOff>384993</xdr:colOff>
      <xdr:row>3</xdr:row>
      <xdr:rowOff>552203</xdr:rowOff>
    </xdr:to>
    <xdr:pic macro="[0]!APAGAR">
      <xdr:nvPicPr>
        <xdr:cNvPr id="8" name="Gráfico 7" descr="Fechar com preenchimento sólido">
          <a:extLst>
            <a:ext uri="{FF2B5EF4-FFF2-40B4-BE49-F238E27FC236}">
              <a16:creationId xmlns:a16="http://schemas.microsoft.com/office/drawing/2014/main" id="{5A3921F3-31F4-D8F9-A2F5-F57B0E48E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081" y="928556"/>
          <a:ext cx="915912" cy="916326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</xdr:pic>
    <xdr:clientData/>
  </xdr:twoCellAnchor>
  <xdr:twoCellAnchor editAs="oneCell">
    <xdr:from>
      <xdr:col>0</xdr:col>
      <xdr:colOff>136071</xdr:colOff>
      <xdr:row>0</xdr:row>
      <xdr:rowOff>0</xdr:rowOff>
    </xdr:from>
    <xdr:to>
      <xdr:col>2</xdr:col>
      <xdr:colOff>7868</xdr:colOff>
      <xdr:row>1</xdr:row>
      <xdr:rowOff>234835</xdr:rowOff>
    </xdr:to>
    <xdr:pic macro="[0]!PREENCHER">
      <xdr:nvPicPr>
        <xdr:cNvPr id="9" name="Gráfico 8" descr="Carregar com preenchimento sólido">
          <a:extLst>
            <a:ext uri="{FF2B5EF4-FFF2-40B4-BE49-F238E27FC236}">
              <a16:creationId xmlns:a16="http://schemas.microsoft.com/office/drawing/2014/main" id="{464676E8-7572-F9DA-CD78-012913AE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6071" y="0"/>
          <a:ext cx="959235" cy="916326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absolute">
    <xdr:from>
      <xdr:col>2</xdr:col>
      <xdr:colOff>9678</xdr:colOff>
      <xdr:row>4</xdr:row>
      <xdr:rowOff>747259</xdr:rowOff>
    </xdr:from>
    <xdr:to>
      <xdr:col>3</xdr:col>
      <xdr:colOff>1224644</xdr:colOff>
      <xdr:row>5</xdr:row>
      <xdr:rowOff>1176455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MOTO">
              <a:extLst>
                <a:ext uri="{FF2B5EF4-FFF2-40B4-BE49-F238E27FC236}">
                  <a16:creationId xmlns:a16="http://schemas.microsoft.com/office/drawing/2014/main" id="{DE4BF1CC-A1AC-967D-045E-1FC69DDE17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3628" y="3114221"/>
              <a:ext cx="2662766" cy="167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168325</xdr:colOff>
      <xdr:row>3</xdr:row>
      <xdr:rowOff>384705</xdr:rowOff>
    </xdr:from>
    <xdr:to>
      <xdr:col>2</xdr:col>
      <xdr:colOff>4812</xdr:colOff>
      <xdr:row>4</xdr:row>
      <xdr:rowOff>266476</xdr:rowOff>
    </xdr:to>
    <xdr:pic macro="[0]!EMPILHADEIRAS">
      <xdr:nvPicPr>
        <xdr:cNvPr id="15" name="Gráfico 14" descr="Mão de robô com preenchimento sólido">
          <a:extLst>
            <a:ext uri="{FF2B5EF4-FFF2-40B4-BE49-F238E27FC236}">
              <a16:creationId xmlns:a16="http://schemas.microsoft.com/office/drawing/2014/main" id="{55A3F6B9-43FA-7849-2293-186361DA1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325" y="1677384"/>
          <a:ext cx="914400" cy="924985"/>
        </a:xfrm>
        <a:prstGeom prst="rect">
          <a:avLst/>
        </a:prstGeom>
      </xdr:spPr>
    </xdr:pic>
    <xdr:clientData/>
  </xdr:twoCellAnchor>
  <xdr:twoCellAnchor editAs="oneCell">
    <xdr:from>
      <xdr:col>0</xdr:col>
      <xdr:colOff>27718</xdr:colOff>
      <xdr:row>4</xdr:row>
      <xdr:rowOff>294519</xdr:rowOff>
    </xdr:from>
    <xdr:to>
      <xdr:col>2</xdr:col>
      <xdr:colOff>21368</xdr:colOff>
      <xdr:row>4</xdr:row>
      <xdr:rowOff>1204686</xdr:rowOff>
    </xdr:to>
    <xdr:pic macro="[0]!CAMINHÃO">
      <xdr:nvPicPr>
        <xdr:cNvPr id="3" name="Gráfico 2" descr="Caminhão com preenchimento sólido">
          <a:extLst>
            <a:ext uri="{FF2B5EF4-FFF2-40B4-BE49-F238E27FC236}">
              <a16:creationId xmlns:a16="http://schemas.microsoft.com/office/drawing/2014/main" id="{865CE5D0-F9C6-4C6F-8603-9549528FD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718" y="2630412"/>
          <a:ext cx="1104900" cy="9101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a.silva\Downloads\PCD%20(SJC)%20(5)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CD (SJC)"/>
      <sheetName val="Devolução"/>
      <sheetName val="Sheet1"/>
      <sheetName val="Equipes"/>
      <sheetName val="Sheet2"/>
      <sheetName val="Planilha1"/>
    </sheetNames>
    <sheetDataSet>
      <sheetData sheetId="0">
        <row r="9">
          <cell r="E9" t="str">
            <v>MOTORISTA PROMAX</v>
          </cell>
          <cell r="F9" t="str">
            <v>AJUDANTE 1</v>
          </cell>
        </row>
        <row r="11">
          <cell r="E11">
            <v>0</v>
          </cell>
          <cell r="F11">
            <v>0</v>
          </cell>
        </row>
        <row r="12">
          <cell r="E12" t="str">
            <v>122-MARCIO ANTONIO LANDIM</v>
          </cell>
          <cell r="F12" t="str">
            <v>200-JOÃO VICTOR SOUZA LANDIM</v>
          </cell>
          <cell r="G12" t="str">
            <v>138-PAULO CESAR DE OLIVEIRA</v>
          </cell>
        </row>
        <row r="13">
          <cell r="E13" t="str">
            <v>6-ISAEL DE CARVALHO OLIVEIRA</v>
          </cell>
          <cell r="F13" t="str">
            <v>182-LUIZ OTAVIO MONTEIRO</v>
          </cell>
        </row>
        <row r="14">
          <cell r="E14" t="str">
            <v>153-MAURO ROQUE DOS SANTOS</v>
          </cell>
          <cell r="F14" t="str">
            <v>94-MILTON DE JESUS SANTANA</v>
          </cell>
        </row>
        <row r="15">
          <cell r="E15" t="str">
            <v>9-FABIO LUIZ FERREIRA</v>
          </cell>
          <cell r="F15" t="str">
            <v>101-ADEILDO DE ARAUJO</v>
          </cell>
        </row>
        <row r="16">
          <cell r="E16" t="str">
            <v>56-ANDERSON NOGUEIRA MANOEL</v>
          </cell>
          <cell r="F16" t="str">
            <v>196-JOSE MARIA JERONIMO DE SOUZA</v>
          </cell>
        </row>
        <row r="17">
          <cell r="E17" t="str">
            <v>150-GABRIEL CURSINO FERREIRA</v>
          </cell>
          <cell r="F17" t="str">
            <v>57-DENILSON FERREIRA RODRIGUES</v>
          </cell>
        </row>
        <row r="18">
          <cell r="E18" t="str">
            <v>103-VALDIR FRANCISCO SANTOS</v>
          </cell>
          <cell r="F18" t="str">
            <v>66-ANTONIO FRANCISCO PEREIRA DA SILVA</v>
          </cell>
        </row>
        <row r="19">
          <cell r="E19" t="str">
            <v>51-AMANDO JARDIM DE JESUS</v>
          </cell>
          <cell r="F19" t="str">
            <v>88-LEONARDO DOS SANTOS OLIVEIRA</v>
          </cell>
        </row>
        <row r="20">
          <cell r="E20" t="str">
            <v xml:space="preserve">191 -JOSE WILSON DE SOUZA  </v>
          </cell>
          <cell r="F20" t="str">
            <v>140-RICARDO DE SOUZA DE BARROS</v>
          </cell>
        </row>
        <row r="21">
          <cell r="E21" t="str">
            <v>04-CICERO CLEBERSON CORREIA DA SILVA</v>
          </cell>
          <cell r="F21" t="str">
            <v>181-BRENDO ARANTES</v>
          </cell>
        </row>
        <row r="22">
          <cell r="E22">
            <v>0</v>
          </cell>
          <cell r="F22">
            <v>0</v>
          </cell>
        </row>
        <row r="23">
          <cell r="E23" t="str">
            <v>35-LEDSON LUIS DOS SANTOS CARDOSO</v>
          </cell>
          <cell r="F23" t="str">
            <v>70-CARLOS ALEXANDRE DA SILVA SANTOS</v>
          </cell>
          <cell r="G23" t="str">
            <v>193-BRUNO CESAR DA COSTA</v>
          </cell>
        </row>
        <row r="24">
          <cell r="E24" t="str">
            <v>2-ANTONIO DA SILVA FERREIRA</v>
          </cell>
          <cell r="F24" t="str">
            <v>142-RODOLFO ADILSON LOPES</v>
          </cell>
        </row>
        <row r="25">
          <cell r="E25">
            <v>0</v>
          </cell>
          <cell r="F25">
            <v>0</v>
          </cell>
        </row>
        <row r="26">
          <cell r="E26" t="str">
            <v>47-CLAYTON CARLOS GONCALVES DA SILVA</v>
          </cell>
          <cell r="F26" t="str">
            <v>68-EDSON CANDIDO DE SOUZA</v>
          </cell>
          <cell r="G26" t="str">
            <v>80-WENDEL FELIPE FERREIRA DOS SANTOS</v>
          </cell>
        </row>
        <row r="27">
          <cell r="E27" t="str">
            <v>182-RENATO ORTEGA GONCALVES</v>
          </cell>
          <cell r="F27" t="str">
            <v>99-IVANILSON FERNANDES SOUZA</v>
          </cell>
        </row>
        <row r="28">
          <cell r="E28" t="str">
            <v>7-IVAN PEREIRA DOS SANTOS</v>
          </cell>
          <cell r="F28" t="str">
            <v>112-EDNALDO FELIX DE OLIVEIRA</v>
          </cell>
          <cell r="G28" t="str">
            <v>51-WILLIAM AUGUSTO ALMEIDA PIRES</v>
          </cell>
        </row>
        <row r="29">
          <cell r="E29" t="str">
            <v>15-LUIS ALBERTO C DE FREITAS</v>
          </cell>
          <cell r="F29" t="str">
            <v>252-DANIEL ALEXANDRE FERREIRA ROQUE</v>
          </cell>
          <cell r="G29" t="str">
            <v>49-AMAURI DA SILVA SANTOS</v>
          </cell>
        </row>
        <row r="30">
          <cell r="E30" t="str">
            <v>03-ADAILTON ALVES FERNANDES</v>
          </cell>
          <cell r="F30" t="str">
            <v>120-GILMAR DE GODOY</v>
          </cell>
        </row>
        <row r="31">
          <cell r="E31" t="str">
            <v>13-LAELSON GERMANO DA ROCHA</v>
          </cell>
          <cell r="F31" t="str">
            <v>201-CLAUDIO DE JESUS SOUSA</v>
          </cell>
          <cell r="G31" t="str">
            <v>76-DAVID VALERIO SILVA</v>
          </cell>
        </row>
        <row r="32">
          <cell r="E32" t="str">
            <v>90- FABIANO JOSÉ DA SILVA</v>
          </cell>
          <cell r="F32" t="str">
            <v>22-WENDEL CORREA BAHIA</v>
          </cell>
        </row>
        <row r="33">
          <cell r="E33" t="str">
            <v>149-FLAVIO ADRIANO DA SILVA GOMES</v>
          </cell>
          <cell r="F33" t="str">
            <v>84-EVERTON LIMA DE OLIVEIRA</v>
          </cell>
        </row>
        <row r="34">
          <cell r="E34" t="str">
            <v>98-GERSON APARECIDO DE MOURA</v>
          </cell>
          <cell r="F34" t="str">
            <v>92-JOSEMAR JOSE DA SILVA</v>
          </cell>
          <cell r="G34" t="str">
            <v>48-PAULO CESAR NOGUEIRA</v>
          </cell>
        </row>
        <row r="35">
          <cell r="E35" t="str">
            <v xml:space="preserve">11-JOSE MAURO DE ANDRADE         </v>
          </cell>
          <cell r="F35" t="str">
            <v>03-JOAO BATISTA DA SILVA</v>
          </cell>
        </row>
        <row r="36">
          <cell r="E36" t="str">
            <v xml:space="preserve">19-ROBSON DE SIQUEIRA MANCILHA   </v>
          </cell>
          <cell r="F36" t="str">
            <v>04-RICARDO RODRIGO GONÇALVES</v>
          </cell>
          <cell r="G36" t="str">
            <v>74-MARCOS BRITO DE JESUS</v>
          </cell>
        </row>
        <row r="37">
          <cell r="E37" t="str">
            <v>5-BENEDITO ROGERIO DE ANDRADE</v>
          </cell>
          <cell r="F37" t="str">
            <v>82-DARCIO COUTO SOUZA</v>
          </cell>
        </row>
        <row r="38">
          <cell r="E38" t="str">
            <v>187-ALEXANDRE LUIS FRANKLIN DOS SANTOS</v>
          </cell>
          <cell r="F38" t="str">
            <v>183-VANDERLEI DONISETE BELMIRO</v>
          </cell>
          <cell r="G38" t="str">
            <v>111-JEAN ALEXANDRE MARTINS</v>
          </cell>
        </row>
        <row r="39">
          <cell r="E39" t="str">
            <v>126-MARCILON ADAMILTON LANDIM</v>
          </cell>
          <cell r="F39" t="str">
            <v>202- RIAN SANTOS FRANCA DE SILVA</v>
          </cell>
          <cell r="G39" t="str">
            <v>184-JOAO VITOR PEDROSO DE OLIVEIRA</v>
          </cell>
        </row>
        <row r="40">
          <cell r="E40">
            <v>0</v>
          </cell>
          <cell r="F40">
            <v>0</v>
          </cell>
        </row>
        <row r="41">
          <cell r="E41">
            <v>0</v>
          </cell>
          <cell r="F41">
            <v>0</v>
          </cell>
        </row>
        <row r="42">
          <cell r="E42">
            <v>0</v>
          </cell>
          <cell r="F42">
            <v>0</v>
          </cell>
        </row>
        <row r="43">
          <cell r="E43">
            <v>0</v>
          </cell>
          <cell r="F43">
            <v>0</v>
          </cell>
        </row>
        <row r="44">
          <cell r="E44">
            <v>0</v>
          </cell>
          <cell r="F44">
            <v>0</v>
          </cell>
        </row>
        <row r="45">
          <cell r="E45">
            <v>0</v>
          </cell>
          <cell r="F45">
            <v>0</v>
          </cell>
        </row>
        <row r="46">
          <cell r="E46">
            <v>0</v>
          </cell>
          <cell r="F46">
            <v>0</v>
          </cell>
        </row>
        <row r="47">
          <cell r="E47">
            <v>0</v>
          </cell>
          <cell r="F47">
            <v>0</v>
          </cell>
        </row>
        <row r="48">
          <cell r="E48">
            <v>0</v>
          </cell>
          <cell r="F48">
            <v>0</v>
          </cell>
        </row>
        <row r="49">
          <cell r="E49">
            <v>0</v>
          </cell>
          <cell r="F49">
            <v>0</v>
          </cell>
        </row>
        <row r="50">
          <cell r="E50">
            <v>0</v>
          </cell>
          <cell r="F50">
            <v>0</v>
          </cell>
        </row>
        <row r="51">
          <cell r="E51">
            <v>0</v>
          </cell>
          <cell r="F51">
            <v>0</v>
          </cell>
        </row>
        <row r="52">
          <cell r="E52">
            <v>0</v>
          </cell>
          <cell r="F52">
            <v>0</v>
          </cell>
        </row>
        <row r="53">
          <cell r="E53">
            <v>0</v>
          </cell>
          <cell r="F53">
            <v>0</v>
          </cell>
        </row>
        <row r="54">
          <cell r="E54">
            <v>0</v>
          </cell>
          <cell r="F54">
            <v>0</v>
          </cell>
        </row>
        <row r="55">
          <cell r="E55">
            <v>0</v>
          </cell>
          <cell r="F55">
            <v>0</v>
          </cell>
        </row>
        <row r="56">
          <cell r="E56">
            <v>0</v>
          </cell>
          <cell r="F56">
            <v>0</v>
          </cell>
        </row>
        <row r="57">
          <cell r="E57">
            <v>0</v>
          </cell>
          <cell r="F57">
            <v>0</v>
          </cell>
        </row>
        <row r="58">
          <cell r="E58">
            <v>0</v>
          </cell>
          <cell r="F58">
            <v>0</v>
          </cell>
        </row>
        <row r="59">
          <cell r="E59">
            <v>0</v>
          </cell>
          <cell r="F59">
            <v>0</v>
          </cell>
        </row>
        <row r="60">
          <cell r="E60">
            <v>0</v>
          </cell>
          <cell r="F60">
            <v>0</v>
          </cell>
        </row>
        <row r="61">
          <cell r="E61">
            <v>0</v>
          </cell>
          <cell r="F61">
            <v>0</v>
          </cell>
        </row>
        <row r="62">
          <cell r="E62">
            <v>0</v>
          </cell>
          <cell r="F62">
            <v>0</v>
          </cell>
        </row>
        <row r="63">
          <cell r="E63">
            <v>0</v>
          </cell>
          <cell r="F63">
            <v>0</v>
          </cell>
        </row>
        <row r="64">
          <cell r="E64">
            <v>0</v>
          </cell>
          <cell r="F64">
            <v>0</v>
          </cell>
        </row>
        <row r="65">
          <cell r="E65">
            <v>0</v>
          </cell>
          <cell r="F65">
            <v>0</v>
          </cell>
        </row>
        <row r="66">
          <cell r="E66">
            <v>0</v>
          </cell>
          <cell r="F66">
            <v>0</v>
          </cell>
        </row>
        <row r="67">
          <cell r="E67">
            <v>0</v>
          </cell>
          <cell r="F67">
            <v>0</v>
          </cell>
        </row>
        <row r="68">
          <cell r="E68">
            <v>0</v>
          </cell>
          <cell r="F68">
            <v>0</v>
          </cell>
        </row>
        <row r="69">
          <cell r="E69">
            <v>0</v>
          </cell>
          <cell r="F69">
            <v>0</v>
          </cell>
        </row>
        <row r="70">
          <cell r="E70">
            <v>0</v>
          </cell>
          <cell r="F70">
            <v>0</v>
          </cell>
        </row>
        <row r="71">
          <cell r="E71">
            <v>0</v>
          </cell>
          <cell r="F71">
            <v>0</v>
          </cell>
        </row>
        <row r="72">
          <cell r="E72">
            <v>0</v>
          </cell>
          <cell r="F72">
            <v>0</v>
          </cell>
        </row>
        <row r="73">
          <cell r="E73">
            <v>0</v>
          </cell>
          <cell r="F73">
            <v>0</v>
          </cell>
        </row>
        <row r="74">
          <cell r="E74">
            <v>0</v>
          </cell>
        </row>
        <row r="75">
          <cell r="E75">
            <v>0</v>
          </cell>
        </row>
        <row r="76">
          <cell r="E76">
            <v>0</v>
          </cell>
        </row>
        <row r="77">
          <cell r="E77">
            <v>0</v>
          </cell>
        </row>
        <row r="78">
          <cell r="E78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a Gabriela" id="{5FCF56AC-3BBB-4D3D-928E-2F92E520084E}" userId="Ana Gabriela" providerId="None"/>
  <person displayName="ANA GABRIELA SANTOS SILVA" id="{6698C35C-B322-4CC7-81A3-C7E6E7237211}" userId="S::ana.silva@fadeltransportes.com.br::0bcbbde4-23fa-4252-b69b-2f7c49ab4ff6" providerId="AD"/>
</personList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TO" xr10:uid="{219CA59B-11B6-4243-9ED3-C18F0BB2BA87}" sourceName="MOTO">
  <extLst>
    <x:ext xmlns:x15="http://schemas.microsoft.com/office/spreadsheetml/2010/11/main" uri="{2F2917AC-EB37-4324-AD4E-5DD8C200BD13}">
      <x15:tableSlicerCache tableId="2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TO" xr10:uid="{F239C762-706B-49CB-AF40-AD1D8EE1B068}" cache="SegmentaçãodeDados_MOTO" caption="MOTO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DCBFC1-6751-4527-A88B-710024F9A56D}" name="Tabela2" displayName="Tabela2" ref="A7:P107" totalsRowShown="0" headerRowDxfId="4623" dataDxfId="4622">
  <autoFilter ref="A7:P107" xr:uid="{98DCBFC1-6751-4527-A88B-710024F9A56D}"/>
  <sortState xmlns:xlrd2="http://schemas.microsoft.com/office/spreadsheetml/2017/richdata2" ref="A8:P42">
    <sortCondition sortBy="cellColor" ref="D7:D107" dxfId="4621"/>
  </sortState>
  <tableColumns count="16">
    <tableColumn id="1" xr3:uid="{6645AB90-DA38-47AA-878C-AD02CBCC38F6}" name="MOTO" dataDxfId="4620">
      <calculatedColumnFormula>COUNTIF(MATINAIS!$B$2:$C$19,ESCALA!E32)</calculatedColumnFormula>
    </tableColumn>
    <tableColumn id="2" xr3:uid="{1E9CB449-1ECD-442A-B13F-51465AB8130F}" name="AJU" dataDxfId="4619">
      <calculatedColumnFormula>COUNTIF(MATINAIS!$C$2:$C$18,ESCALA!F32)</calculatedColumnFormula>
    </tableColumn>
    <tableColumn id="3" xr3:uid="{E94C8440-6E92-409B-ADC6-B408D0DAD933}" name="Placa" dataDxfId="4618"/>
    <tableColumn id="4" xr3:uid="{AF3B69D2-E34A-45CA-982A-B7388A708741}" name="Nro do Mapa" dataDxfId="4617"/>
    <tableColumn id="5" xr3:uid="{FDD74896-377E-4F33-906B-2D27E4D815DE}" name="Motorista" dataDxfId="4616">
      <calculatedColumnFormula>IFERROR(VLOOKUP(C8,$AG:$AI,2,FALSE),)</calculatedColumnFormula>
    </tableColumn>
    <tableColumn id="6" xr3:uid="{4BC4391D-DED9-4A58-9E78-3BF37F548ACE}" name="Ajudante 1" dataDxfId="4615">
      <calculatedColumnFormula>IFERROR(VLOOKUP(C8,$AG:$AI,3,FALSE),)</calculatedColumnFormula>
    </tableColumn>
    <tableColumn id="7" xr3:uid="{7D63E9F8-AFBF-4CFC-BDE6-589A444F44EF}" name="Ajudante 2" dataDxfId="4614"/>
    <tableColumn id="8" xr3:uid="{58478FC5-574C-4209-B271-7AACF84576BD}" name="KM Prev." dataDxfId="4613"/>
    <tableColumn id="9" xr3:uid="{4E0D2EEE-09B2-44F8-ABF8-34753A2C9576}" name="Cidades +Entregas" dataDxfId="4612"/>
    <tableColumn id="10" xr3:uid="{D2A40E50-DC88-49B6-AE7B-D55AA53EF38C}" name="Região +Entregas" dataDxfId="4611"/>
    <tableColumn id="11" xr3:uid="{06F5DE2E-F5DA-497F-B535-75043EEF3E94}" name="Total peso" dataDxfId="4610"/>
    <tableColumn id="12" xr3:uid="{A4540FDA-058C-473A-88D6-81AA10AB68AC}" name="Tempo Prev. (+almoço)" dataDxfId="4609"/>
    <tableColumn id="15" xr3:uid="{7DD461CF-65F2-4707-8490-94A810B87080}" name="Entregas" dataDxfId="4608"/>
    <tableColumn id="13" xr3:uid="{18C129ED-E04F-45B1-8183-1A7F99E61C0F}" name="Veículo" dataDxfId="4607"/>
    <tableColumn id="16" xr3:uid="{FC4B5F91-A8F9-4E2E-9B93-17CCDF0C6495}" name="ORIGINAL" dataDxfId="4606">
      <calculatedColumnFormula>IFERROR(VLOOKUP(Tabela2[[#This Row],[Placa]],Tabela4[[PLACA ]:[MOTORISTA ]],2,0),"")</calculatedColumnFormula>
    </tableColumn>
    <tableColumn id="17" xr3:uid="{D0130A6A-C969-4C38-9DC4-18F7494EE7CD}" name="FIDELIZAÇÃO" dataDxfId="4605">
      <calculatedColumnFormula>IF(Tabela2[[#This Row],[Motorista]]=Tabela2[[#This Row],[ORIGINAL]],"OK","NOK")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432100-C0F1-4204-9708-6F1728830860}" name="Tabela4" displayName="Tabela4" ref="AG7:AJ43" totalsRowShown="0" headerRowDxfId="4604" dataDxfId="4603">
  <autoFilter ref="AG7:AJ43" xr:uid="{E3432100-C0F1-4204-9708-6F1728830860}"/>
  <sortState xmlns:xlrd2="http://schemas.microsoft.com/office/spreadsheetml/2017/richdata2" ref="AG8:AJ43">
    <sortCondition ref="AG7:AG43"/>
  </sortState>
  <tableColumns count="4">
    <tableColumn id="1" xr3:uid="{8B0E99B9-5460-421E-882E-8F43AA801E30}" name="PLACA " dataDxfId="4602"/>
    <tableColumn id="2" xr3:uid="{5840D7B7-F38E-4182-8E76-80CA4E97D51C}" name="MOTORISTA " dataDxfId="4601" dataCellStyle="Normal 3"/>
    <tableColumn id="3" xr3:uid="{FA3C0500-5E30-40FE-9243-0C12CF3A6419}" name="AJUDANTE " dataDxfId="4600" dataCellStyle="Normal 3"/>
    <tableColumn id="4" xr3:uid="{A0E3E063-82B8-4B9F-941E-EA3554E69EFB}" name="REGIÃO" dataDxfId="459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89E7B13-EC85-4AD7-964C-F5F12D857291}" name="Tabela1" displayName="Tabela1" ref="D1:J2" totalsRowShown="0" headerRowDxfId="4598" dataDxfId="4597">
  <autoFilter ref="D1:J2" xr:uid="{789E7B13-EC85-4AD7-964C-F5F12D857291}"/>
  <tableColumns count="7">
    <tableColumn id="1" xr3:uid="{6BEF8DBA-007D-4327-B402-26C0DD3800D7}" name="PESO TOTAL" dataDxfId="4596">
      <calculatedColumnFormula>SUM('PCD DIA '!Y:Y)</calculatedColumnFormula>
    </tableColumn>
    <tableColumn id="2" xr3:uid="{56A672DA-AE63-49B3-BDEC-E3B95FBB0C91}" name="ENTREGAS" dataDxfId="4595">
      <calculatedColumnFormula>SUM('PCD DIA '!V:V)</calculatedColumnFormula>
    </tableColumn>
    <tableColumn id="3" xr3:uid="{17D73D13-9E38-4C34-AF21-63C957182992}" name="1ª VIAGEM" dataDxfId="4594">
      <calculatedColumnFormula>COUNTIFS('PCD DIA '!$P:$P,"Fixa",'PCD DIA '!$S:$S,"Padrao")</calculatedColumnFormula>
    </tableColumn>
    <tableColumn id="4" xr3:uid="{AD3289F3-476E-4915-AE6A-F6D94370F86B}" name="NOTURNO" dataDxfId="4593">
      <calculatedColumnFormula>COUNTIF('PCD DIA '!S:S,"Noturno")</calculatedColumnFormula>
    </tableColumn>
    <tableColumn id="5" xr3:uid="{4CC7E570-A529-4CCA-BF9D-C80E23185CDD}" name="FRETEIRO" dataDxfId="4592">
      <calculatedColumnFormula>COUNTIFS('PCD DIA '!$P:$P,"Freteiro",'PCD DIA '!$S:$S,"Padrao")</calculatedColumnFormula>
    </tableColumn>
    <tableColumn id="6" xr3:uid="{908FD905-C3A9-43C2-AAE4-FB7D4EE59C1D}" name="RECARGA" dataDxfId="4591">
      <calculatedColumnFormula>COUNTIFS('PCD DIA '!$P:$P,"Fixa",'PCD DIA '!$S:$S,"Recarga")</calculatedColumnFormula>
    </tableColumn>
    <tableColumn id="7" xr3:uid="{041E4A52-6112-4AF8-A8D7-4D556D56A5F4}" name="FATORES 2" dataDxfId="4590">
      <calculatedColumnFormula>COUNTA(Tabela2[Ajudante 2])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561414-1D9C-4442-B5E0-E92C37DA85DA}" name="Tabela57" displayName="Tabela57" ref="A4:AI76" totalsRowShown="0" headerRowDxfId="62" dataDxfId="61">
  <autoFilter ref="A4:AI76" xr:uid="{A1561414-1D9C-4442-B5E0-E92C37DA85DA}">
    <filterColumn colId="1">
      <filters blank="1">
        <filter val="M"/>
      </filters>
    </filterColumn>
  </autoFilter>
  <sortState xmlns:xlrd2="http://schemas.microsoft.com/office/spreadsheetml/2017/richdata2" ref="A5:AI76">
    <sortCondition ref="A4:A76"/>
  </sortState>
  <tableColumns count="35">
    <tableColumn id="1" xr3:uid="{CDF94A78-22DC-4EFB-A053-91EAAE48B86E}" name="COLABORADOR " dataDxfId="60"/>
    <tableColumn id="35" xr3:uid="{9462C57F-36F4-40BD-8380-62E81A1538EA}" name="M/A" dataDxfId="59"/>
    <tableColumn id="2" xr3:uid="{3C0EAD73-AF11-457C-A1CA-5D204636ADF5}" name="ULTIMA VEZ " dataDxfId="58"/>
    <tableColumn id="3" xr3:uid="{3B0B4B03-A2A2-4385-ABC3-8CC02FE28E90}" name="VEZES DE FORA " dataDxfId="57">
      <calculatedColumnFormula>COUNTA(Tabela57[[#This Row],[1]:[31]])</calculatedColumnFormula>
    </tableColumn>
    <tableColumn id="4" xr3:uid="{884B2984-9DA6-4EBC-A66F-69F4DDD212E6}" name="1" dataDxfId="56"/>
    <tableColumn id="5" xr3:uid="{C1ED25F3-59EE-406E-9793-C2136FCB9446}" name="2" dataDxfId="55"/>
    <tableColumn id="6" xr3:uid="{640C0707-B480-420D-ADA6-7832FF53B50E}" name="3" dataDxfId="54"/>
    <tableColumn id="7" xr3:uid="{63A21062-EE00-4E68-B51F-CDB5269A8B27}" name="4" dataDxfId="53"/>
    <tableColumn id="8" xr3:uid="{0FA5244D-908D-46BD-9F7E-70286F8537AF}" name="5" dataDxfId="52"/>
    <tableColumn id="9" xr3:uid="{3D3033E7-C894-4676-972E-A126788C5D86}" name="6" dataDxfId="51"/>
    <tableColumn id="10" xr3:uid="{B4A20CE7-3A91-4164-88ED-EDDF52C607AE}" name="7" dataDxfId="50"/>
    <tableColumn id="11" xr3:uid="{A759887A-DC3E-42BD-BD6C-99BE36FDDFC5}" name="8" dataDxfId="49"/>
    <tableColumn id="12" xr3:uid="{5C97EE20-8F6F-4353-83A8-72FC53780AE3}" name="9" dataDxfId="48"/>
    <tableColumn id="13" xr3:uid="{2F8D1E5C-678F-406B-847D-FBD3072A3430}" name="10" dataDxfId="47"/>
    <tableColumn id="14" xr3:uid="{7E52486A-6C96-4F14-A9AB-644526866462}" name="11" dataDxfId="46"/>
    <tableColumn id="15" xr3:uid="{69F2CE8B-0613-4210-9B52-D2B33507419B}" name="12" dataDxfId="45"/>
    <tableColumn id="16" xr3:uid="{9EA363C2-5D97-418B-8485-D681153891DA}" name="13" dataDxfId="44"/>
    <tableColumn id="17" xr3:uid="{96BEEAE8-ABAF-441E-9538-6D9DE5E58CA4}" name="14" dataDxfId="43"/>
    <tableColumn id="18" xr3:uid="{BD32698B-DDD8-4003-8E5B-1024F12414E7}" name="15" dataDxfId="42"/>
    <tableColumn id="19" xr3:uid="{DF0F1D56-C6E4-44D2-B008-7B8AC1F92ACB}" name="16" dataDxfId="41"/>
    <tableColumn id="20" xr3:uid="{349E6930-B1EE-403B-B43C-E9864699B1B1}" name="17" dataDxfId="40"/>
    <tableColumn id="21" xr3:uid="{D90BE27A-442F-471C-940D-339DE9DE4E1A}" name="18" dataDxfId="39"/>
    <tableColumn id="22" xr3:uid="{84D9EEA6-CD27-4D63-962D-F028955FA6A6}" name="19" dataDxfId="38"/>
    <tableColumn id="23" xr3:uid="{D0AC3EFF-A680-4613-846E-F76D767B7E61}" name="20" dataDxfId="37"/>
    <tableColumn id="24" xr3:uid="{DBA7F16C-6322-4D9D-8DCC-EBD69CC49905}" name="21" dataDxfId="36"/>
    <tableColumn id="25" xr3:uid="{F64B17A7-4FBA-4BBA-84D0-E4B5E783B2A1}" name="22" dataDxfId="35"/>
    <tableColumn id="26" xr3:uid="{CC62BB1B-4262-49B4-B86C-F5AB7352F41D}" name="23" dataDxfId="34"/>
    <tableColumn id="27" xr3:uid="{4D86E494-D74E-4E28-8422-D1B4770C9D27}" name="24" dataDxfId="33"/>
    <tableColumn id="28" xr3:uid="{8E6D3EC5-D788-40BA-BF31-4BC6FFDCC923}" name="25" dataDxfId="32"/>
    <tableColumn id="29" xr3:uid="{82427E79-5E81-4FF0-8964-3BE77E1AD6A6}" name="26" dataDxfId="31"/>
    <tableColumn id="30" xr3:uid="{30DEB00B-B639-4C0F-A427-CF0B2B9C8446}" name="27" dataDxfId="30"/>
    <tableColumn id="31" xr3:uid="{A7B21C0D-7E2A-41DA-8EC3-F0CC7C44C29D}" name="28" dataDxfId="29"/>
    <tableColumn id="32" xr3:uid="{0F35AFB6-FA61-46CD-AFCF-AE5E46653FF2}" name="29" dataDxfId="28"/>
    <tableColumn id="33" xr3:uid="{2F518001-40BF-48B4-9CDC-1DC2644D4B91}" name="30" dataDxfId="27"/>
    <tableColumn id="34" xr3:uid="{91FBE55C-54B9-4235-9F4A-11170CD822F7}" name="31" dataDxfId="26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29C6EA-7C96-4D3C-8043-FEE14391B3D9}" name="Tabela3" displayName="Tabela3" ref="A1:B26" totalsRowShown="0" headerRowDxfId="4" dataDxfId="3">
  <autoFilter ref="A1:B26" xr:uid="{4929C6EA-7C96-4D3C-8043-FEE14391B3D9}"/>
  <sortState xmlns:xlrd2="http://schemas.microsoft.com/office/spreadsheetml/2017/richdata2" ref="A2:B26">
    <sortCondition sortBy="cellColor" ref="A1:A26" dxfId="2"/>
  </sortState>
  <tableColumns count="2">
    <tableColumn id="1" xr3:uid="{EA09068F-2B1B-44DD-89D5-628E96F0E34C}" name="PDV " dataDxfId="1"/>
    <tableColumn id="2" xr3:uid="{A9B3849F-8F44-4933-BF94-1C2B381E009F}" name="NOME 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6" dT="2025-07-23T18:58:30.84" personId="{6698C35C-B322-4CC7-81A3-C7E6E7237211}" id="{35D662E7-5EF6-4238-A24B-F4E164F2C996}">
    <text xml:space="preserve">Médico
</text>
  </threadedComment>
  <threadedComment ref="F10" dT="2025-07-04T18:50:08.33" personId="{6698C35C-B322-4CC7-81A3-C7E6E7237211}" id="{1028473F-692D-4761-BB14-77C8E81EABB9}">
    <text xml:space="preserve">Pediu para ficar de fora </text>
  </threadedComment>
  <threadedComment ref="F10" dT="2025-07-04T18:51:28.73" personId="{6698C35C-B322-4CC7-81A3-C7E6E7237211}" id="{D3171A78-7E5C-43D2-B2BB-F4CC806FA2BB}" parentId="{1028473F-692D-4761-BB14-77C8E81EABB9}">
    <text>médoco</text>
  </threadedComment>
  <threadedComment ref="O10" dT="2025-07-12T00:54:39.42" personId="{5FCF56AC-3BBB-4D3D-928E-2F92E520084E}" id="{C521E09F-126F-4798-A263-2AD10D7A039A}">
    <text xml:space="preserve">MEDICO 10H
</text>
  </threadedComment>
  <threadedComment ref="AA10" dT="2025-07-23T18:59:32.39" personId="{6698C35C-B322-4CC7-81A3-C7E6E7237211}" id="{4413F3F4-981A-4EF0-91FB-8A564CB164E6}">
    <text xml:space="preserve">Médico
</text>
  </threadedComment>
  <threadedComment ref="AA13" dT="2025-07-23T18:58:50.10" personId="{6698C35C-B322-4CC7-81A3-C7E6E7237211}" id="{AE956689-6ADC-4871-8A51-9C7A33001108}">
    <text>atestado</text>
  </threadedComment>
  <threadedComment ref="AC13" dT="2025-07-26T11:27:11.00" personId="{6698C35C-B322-4CC7-81A3-C7E6E7237211}" id="{83AC4627-1945-442F-AEF4-EE334E7C58FA}">
    <text>atestado</text>
  </threadedComment>
  <threadedComment ref="AD13" dT="2025-07-26T11:27:19.83" personId="{6698C35C-B322-4CC7-81A3-C7E6E7237211}" id="{E9CC6CE5-046E-413C-88BB-C86E9A5ADD87}">
    <text>atestado</text>
  </threadedComment>
  <threadedComment ref="I15" dT="2025-07-07T14:04:19.60" personId="{6698C35C-B322-4CC7-81A3-C7E6E7237211}" id="{8A005E1D-24CD-4470-A507-5C71A833A88C}">
    <text xml:space="preserve">Falta, sem justificativa </text>
  </threadedComment>
  <threadedComment ref="N15" dT="2025-07-10T18:03:43.65" personId="{6698C35C-B322-4CC7-81A3-C7E6E7237211}" id="{FC2140B7-4A8E-472B-A30E-7A20ADC43C62}">
    <text xml:space="preserve">PROBLEMAS COM A FILHA </text>
  </threadedComment>
  <threadedComment ref="K23" dT="2025-07-07T14:07:26.36" personId="{6698C35C-B322-4CC7-81A3-C7E6E7237211}" id="{C67EB8FC-4320-4F9A-B5C2-D539339AF7C4}">
    <text>ASO</text>
  </threadedComment>
  <threadedComment ref="AD24" dT="2025-07-26T11:27:28.45" personId="{6698C35C-B322-4CC7-81A3-C7E6E7237211}" id="{433141B1-ED1B-4B3B-9351-F5FEF3E9EB36}">
    <text>Folga team room</text>
  </threadedComment>
  <threadedComment ref="E34" dT="2025-07-04T18:53:03.66" personId="{6698C35C-B322-4CC7-81A3-C7E6E7237211}" id="{38A083F3-0016-4658-AFDC-2A841200FF11}">
    <text xml:space="preserve">Pediu para ficar de fora, para fazer compra </text>
  </threadedComment>
  <threadedComment ref="K36" dT="2025-07-07T14:07:17.45" personId="{6698C35C-B322-4CC7-81A3-C7E6E7237211}" id="{73D08353-596D-434A-9F85-1435D3722639}">
    <text>ASO</text>
  </threadedComment>
  <threadedComment ref="K37" dT="2025-07-07T14:08:17.28" personId="{6698C35C-B322-4CC7-81A3-C7E6E7237211}" id="{C425E90C-FCE5-480A-8F02-4BD01E270986}">
    <text xml:space="preserve">FALTA 
</text>
  </threadedComment>
  <threadedComment ref="AA37" dT="2025-07-23T18:59:09.39" personId="{6698C35C-B322-4CC7-81A3-C7E6E7237211}" id="{4EF16A9B-9834-4173-8B3E-3159AB619545}">
    <text>Suspensão</text>
  </threadedComment>
  <threadedComment ref="H38" dT="2025-07-04T18:42:38.77" personId="{6698C35C-B322-4CC7-81A3-C7E6E7237211}" id="{13EE1428-F7AD-4616-B076-BF396262DDF0}">
    <text xml:space="preserve">Aso
</text>
  </threadedComment>
  <threadedComment ref="H40" dT="2025-07-04T18:42:57.08" personId="{6698C35C-B322-4CC7-81A3-C7E6E7237211}" id="{A6409880-182B-4602-91DF-8FC43A39E51F}">
    <text xml:space="preserve">Ficou de fora para levar sogro no hospital
</text>
  </threadedComment>
  <threadedComment ref="AD41" dT="2025-07-26T11:27:41.78" personId="{6698C35C-B322-4CC7-81A3-C7E6E7237211}" id="{86DF0FAE-B634-4A74-8E04-50BD0638F5C9}">
    <text xml:space="preserve">Disse que não estava bem </text>
  </threadedComment>
  <threadedComment ref="O42" dT="2025-07-12T00:55:10.24" personId="{5FCF56AC-3BBB-4D3D-928E-2F92E520084E}" id="{83708EA7-F8EF-4E9E-AD6F-A177D19938FE}">
    <text>IR NO BANCO RESOLVER COISAS DA ESPOSA</text>
  </threadedComment>
  <threadedComment ref="F43" dT="2025-07-04T18:43:19.77" personId="{6698C35C-B322-4CC7-81A3-C7E6E7237211}" id="{ADBD57ED-AE7F-49A7-A076-93CAD78929E1}">
    <text xml:space="preserve">Filha doente 
</text>
  </threadedComment>
  <threadedComment ref="G43" dT="2025-07-04T18:43:30.80" personId="{6698C35C-B322-4CC7-81A3-C7E6E7237211}" id="{448786B2-8849-40AD-8940-888ECBCDCEDA}">
    <text xml:space="preserve">Filha doente </text>
  </threadedComment>
  <threadedComment ref="I46" dT="2025-07-07T14:03:59.98" personId="{6698C35C-B322-4CC7-81A3-C7E6E7237211}" id="{52FDF29B-FEF9-4F20-AEA2-2C554974EFA6}">
    <text>Folga alinhada com ildo, ele foi para SP</text>
  </threadedComment>
  <threadedComment ref="AD52" dT="2025-07-26T11:27:55.66" personId="{6698C35C-B322-4CC7-81A3-C7E6E7237211}" id="{AEAAA4DC-9AF7-483D-BA01-F7858A5F23CC}">
    <text>Niver filha</text>
  </threadedComment>
  <threadedComment ref="G59" dT="2025-07-04T18:44:36.39" personId="{6698C35C-B322-4CC7-81A3-C7E6E7237211}" id="{9BB77D1B-223F-418F-B22B-D7954021E8F5}">
    <text>Aso</text>
  </threadedComment>
  <threadedComment ref="N66" dT="2025-07-10T18:03:54.57" personId="{6698C35C-B322-4CC7-81A3-C7E6E7237211}" id="{7492863E-61C8-4789-9549-79D4D49D3D7D}">
    <text>Médico 10h</text>
  </threadedComment>
  <threadedComment ref="AD66" dT="2025-07-26T11:28:06.84" personId="{6698C35C-B322-4CC7-81A3-C7E6E7237211}" id="{94418F46-83D9-43E4-9C25-F3D94C04A073}">
    <text xml:space="preserve">Alinhamento ildo 
</text>
  </threadedComment>
  <threadedComment ref="E68" dT="2025-07-04T18:53:38.33" personId="{6698C35C-B322-4CC7-81A3-C7E6E7237211}" id="{852D521A-C0F7-4087-9539-093A57618EAD}">
    <text xml:space="preserve">Ficou de fora que d-1,  estava com virose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81D58-BC49-4609-8571-CFE6642CD1C3}">
  <sheetPr codeName="Planilha1"/>
  <dimension ref="A1:AN36"/>
  <sheetViews>
    <sheetView showGridLines="0" workbookViewId="0">
      <selection activeCell="C41" sqref="C41"/>
    </sheetView>
  </sheetViews>
  <sheetFormatPr defaultRowHeight="14.5" x14ac:dyDescent="0.35"/>
  <cols>
    <col min="5" max="5" width="11.6328125" bestFit="1" customWidth="1"/>
  </cols>
  <sheetData>
    <row r="1" spans="1:40" x14ac:dyDescent="0.35">
      <c r="A1" t="s">
        <v>354</v>
      </c>
      <c r="B1" t="s">
        <v>314</v>
      </c>
      <c r="C1" t="s">
        <v>315</v>
      </c>
      <c r="D1" t="s">
        <v>316</v>
      </c>
      <c r="E1" t="s">
        <v>317</v>
      </c>
      <c r="F1" t="s">
        <v>318</v>
      </c>
      <c r="G1" t="s">
        <v>0</v>
      </c>
      <c r="H1" t="s">
        <v>319</v>
      </c>
      <c r="I1" t="s">
        <v>320</v>
      </c>
      <c r="J1" t="s">
        <v>321</v>
      </c>
      <c r="K1" t="s">
        <v>322</v>
      </c>
      <c r="L1" t="s">
        <v>1</v>
      </c>
      <c r="M1" t="s">
        <v>2</v>
      </c>
      <c r="N1" t="s">
        <v>323</v>
      </c>
      <c r="O1" t="s">
        <v>3</v>
      </c>
      <c r="P1" t="s">
        <v>324</v>
      </c>
      <c r="Q1" t="s">
        <v>325</v>
      </c>
      <c r="R1" t="s">
        <v>326</v>
      </c>
      <c r="S1" t="s">
        <v>327</v>
      </c>
      <c r="T1" t="s">
        <v>4</v>
      </c>
      <c r="U1" t="s">
        <v>5</v>
      </c>
      <c r="V1" t="s">
        <v>6</v>
      </c>
      <c r="W1" t="s">
        <v>328</v>
      </c>
      <c r="X1" t="s">
        <v>329</v>
      </c>
      <c r="Y1" t="s">
        <v>7</v>
      </c>
      <c r="Z1" t="s">
        <v>330</v>
      </c>
      <c r="AA1" t="s">
        <v>331</v>
      </c>
      <c r="AB1" t="s">
        <v>332</v>
      </c>
      <c r="AC1" t="s">
        <v>333</v>
      </c>
      <c r="AD1" t="s">
        <v>334</v>
      </c>
      <c r="AE1" t="s">
        <v>335</v>
      </c>
      <c r="AF1" t="s">
        <v>336</v>
      </c>
      <c r="AG1" t="s">
        <v>337</v>
      </c>
      <c r="AH1" t="s">
        <v>338</v>
      </c>
      <c r="AI1" t="s">
        <v>339</v>
      </c>
      <c r="AJ1" t="s">
        <v>340</v>
      </c>
      <c r="AK1" t="s">
        <v>8</v>
      </c>
      <c r="AL1" t="s">
        <v>9</v>
      </c>
      <c r="AM1" t="s">
        <v>10</v>
      </c>
      <c r="AN1" t="s">
        <v>341</v>
      </c>
    </row>
    <row r="2" spans="1:40" x14ac:dyDescent="0.35">
      <c r="A2">
        <v>966</v>
      </c>
      <c r="B2" t="s">
        <v>342</v>
      </c>
      <c r="C2">
        <v>1</v>
      </c>
      <c r="D2" t="s">
        <v>343</v>
      </c>
      <c r="E2" s="97">
        <v>45911</v>
      </c>
      <c r="F2" t="s">
        <v>344</v>
      </c>
      <c r="G2">
        <v>372682</v>
      </c>
      <c r="H2">
        <v>67</v>
      </c>
      <c r="I2" s="98">
        <v>0.9122569444444445</v>
      </c>
      <c r="J2" t="s">
        <v>345</v>
      </c>
      <c r="K2">
        <v>1</v>
      </c>
      <c r="L2" t="s">
        <v>346</v>
      </c>
      <c r="M2" t="s">
        <v>387</v>
      </c>
      <c r="O2">
        <v>159</v>
      </c>
      <c r="P2" t="s">
        <v>347</v>
      </c>
      <c r="Q2" t="s">
        <v>353</v>
      </c>
      <c r="R2" s="99">
        <v>0.91249999999999998</v>
      </c>
      <c r="S2" t="s">
        <v>388</v>
      </c>
      <c r="T2">
        <v>0.82</v>
      </c>
      <c r="U2" s="98">
        <v>0.10347222222222222</v>
      </c>
      <c r="V2">
        <v>1</v>
      </c>
      <c r="W2">
        <v>241.09</v>
      </c>
      <c r="X2">
        <v>57.4</v>
      </c>
      <c r="Y2">
        <v>6351</v>
      </c>
      <c r="Z2">
        <v>49.43</v>
      </c>
      <c r="AA2">
        <v>29.8</v>
      </c>
      <c r="AB2">
        <v>17.100000000000001</v>
      </c>
      <c r="AH2" t="s">
        <v>348</v>
      </c>
      <c r="AK2" t="s">
        <v>385</v>
      </c>
      <c r="AL2" t="s">
        <v>389</v>
      </c>
      <c r="AM2">
        <v>40327</v>
      </c>
    </row>
    <row r="3" spans="1:40" x14ac:dyDescent="0.35">
      <c r="A3">
        <v>966</v>
      </c>
      <c r="B3" t="s">
        <v>342</v>
      </c>
      <c r="C3">
        <v>1</v>
      </c>
      <c r="D3" t="s">
        <v>343</v>
      </c>
      <c r="E3" s="97">
        <v>45911</v>
      </c>
      <c r="F3" t="s">
        <v>344</v>
      </c>
      <c r="G3">
        <v>372683</v>
      </c>
      <c r="H3">
        <v>67</v>
      </c>
      <c r="I3" s="98">
        <v>0.91265046296296293</v>
      </c>
      <c r="J3" t="s">
        <v>345</v>
      </c>
      <c r="K3">
        <v>1</v>
      </c>
      <c r="L3" t="s">
        <v>351</v>
      </c>
      <c r="M3" t="s">
        <v>358</v>
      </c>
      <c r="O3">
        <v>193</v>
      </c>
      <c r="P3" t="s">
        <v>369</v>
      </c>
      <c r="Q3" t="s">
        <v>353</v>
      </c>
      <c r="R3" s="99">
        <v>0.91319444444444442</v>
      </c>
      <c r="S3" t="s">
        <v>350</v>
      </c>
      <c r="T3">
        <v>46</v>
      </c>
      <c r="U3" s="98">
        <v>0.30555555555555558</v>
      </c>
      <c r="V3">
        <v>2</v>
      </c>
      <c r="W3">
        <v>297.27999999999997</v>
      </c>
      <c r="X3">
        <v>88.47</v>
      </c>
      <c r="Y3">
        <v>7780</v>
      </c>
      <c r="Z3">
        <v>97.25</v>
      </c>
      <c r="AA3">
        <v>100</v>
      </c>
      <c r="AB3">
        <v>97.25</v>
      </c>
      <c r="AH3" t="s">
        <v>348</v>
      </c>
      <c r="AK3" t="s">
        <v>390</v>
      </c>
      <c r="AL3" t="s">
        <v>391</v>
      </c>
      <c r="AM3" t="s">
        <v>392</v>
      </c>
    </row>
    <row r="4" spans="1:40" x14ac:dyDescent="0.35">
      <c r="A4">
        <v>966</v>
      </c>
      <c r="B4" t="s">
        <v>342</v>
      </c>
      <c r="C4">
        <v>1</v>
      </c>
      <c r="D4" t="s">
        <v>343</v>
      </c>
      <c r="E4" s="97">
        <v>45911</v>
      </c>
      <c r="F4" t="s">
        <v>344</v>
      </c>
      <c r="G4">
        <v>372684</v>
      </c>
      <c r="H4">
        <v>67</v>
      </c>
      <c r="I4" s="98">
        <v>0.91304398148148147</v>
      </c>
      <c r="J4" t="s">
        <v>345</v>
      </c>
      <c r="K4">
        <v>1</v>
      </c>
      <c r="L4" t="s">
        <v>346</v>
      </c>
      <c r="M4" t="s">
        <v>368</v>
      </c>
      <c r="O4">
        <v>99</v>
      </c>
      <c r="P4" t="s">
        <v>347</v>
      </c>
      <c r="Q4" t="s">
        <v>353</v>
      </c>
      <c r="R4" s="99">
        <v>0.91319444444444442</v>
      </c>
      <c r="S4" t="s">
        <v>379</v>
      </c>
      <c r="T4">
        <v>78.81</v>
      </c>
      <c r="U4" s="98">
        <v>0.33124999999999999</v>
      </c>
      <c r="V4">
        <v>14</v>
      </c>
      <c r="W4">
        <v>115.37</v>
      </c>
      <c r="X4">
        <v>27.46</v>
      </c>
      <c r="Y4">
        <v>2945</v>
      </c>
      <c r="Z4">
        <v>22.92</v>
      </c>
      <c r="AA4">
        <v>95.4</v>
      </c>
      <c r="AB4">
        <v>26.19</v>
      </c>
      <c r="AH4" t="s">
        <v>348</v>
      </c>
      <c r="AK4" t="s">
        <v>393</v>
      </c>
      <c r="AL4" t="s">
        <v>394</v>
      </c>
      <c r="AM4" t="s">
        <v>395</v>
      </c>
    </row>
    <row r="5" spans="1:40" x14ac:dyDescent="0.35">
      <c r="A5">
        <v>966</v>
      </c>
      <c r="B5" t="s">
        <v>342</v>
      </c>
      <c r="C5">
        <v>1</v>
      </c>
      <c r="D5" t="s">
        <v>343</v>
      </c>
      <c r="E5" s="97">
        <v>45911</v>
      </c>
      <c r="F5" t="s">
        <v>344</v>
      </c>
      <c r="G5">
        <v>372685</v>
      </c>
      <c r="H5">
        <v>67</v>
      </c>
      <c r="I5" s="98">
        <v>0.91343750000000001</v>
      </c>
      <c r="J5" t="s">
        <v>345</v>
      </c>
      <c r="K5">
        <v>1</v>
      </c>
      <c r="L5" t="s">
        <v>351</v>
      </c>
      <c r="M5" t="s">
        <v>11</v>
      </c>
      <c r="O5">
        <v>6</v>
      </c>
      <c r="P5" t="s">
        <v>347</v>
      </c>
      <c r="Q5" t="s">
        <v>376</v>
      </c>
      <c r="R5" s="99">
        <v>1.7361111111111112E-2</v>
      </c>
      <c r="S5" t="s">
        <v>350</v>
      </c>
      <c r="T5">
        <v>121.26</v>
      </c>
      <c r="U5" s="98">
        <v>0.38541666666666669</v>
      </c>
      <c r="V5">
        <v>17</v>
      </c>
      <c r="W5">
        <v>107.4</v>
      </c>
      <c r="X5">
        <v>31.96</v>
      </c>
      <c r="Y5">
        <v>2792</v>
      </c>
      <c r="Z5">
        <v>32.840000000000003</v>
      </c>
      <c r="AA5">
        <v>100</v>
      </c>
      <c r="AB5">
        <v>32.840000000000003</v>
      </c>
      <c r="AH5" t="s">
        <v>348</v>
      </c>
      <c r="AK5" t="s">
        <v>396</v>
      </c>
      <c r="AL5" t="s">
        <v>397</v>
      </c>
      <c r="AM5" t="s">
        <v>398</v>
      </c>
    </row>
    <row r="6" spans="1:40" x14ac:dyDescent="0.35">
      <c r="A6">
        <v>966</v>
      </c>
      <c r="B6" t="s">
        <v>342</v>
      </c>
      <c r="C6">
        <v>1</v>
      </c>
      <c r="D6" t="s">
        <v>343</v>
      </c>
      <c r="E6" s="97">
        <v>45911</v>
      </c>
      <c r="F6" t="s">
        <v>344</v>
      </c>
      <c r="G6">
        <v>372686</v>
      </c>
      <c r="H6">
        <v>67</v>
      </c>
      <c r="I6" s="98">
        <v>0.9138425925925926</v>
      </c>
      <c r="J6" t="s">
        <v>345</v>
      </c>
      <c r="K6">
        <v>1</v>
      </c>
      <c r="L6" t="s">
        <v>352</v>
      </c>
      <c r="M6" t="s">
        <v>32</v>
      </c>
      <c r="O6">
        <v>2</v>
      </c>
      <c r="P6" t="s">
        <v>347</v>
      </c>
      <c r="Q6" t="s">
        <v>376</v>
      </c>
      <c r="R6" s="99">
        <v>0.99791666666666667</v>
      </c>
      <c r="S6" t="s">
        <v>350</v>
      </c>
      <c r="T6">
        <v>40.49</v>
      </c>
      <c r="U6" s="98">
        <v>0.36805555555555558</v>
      </c>
      <c r="V6">
        <v>16</v>
      </c>
      <c r="W6">
        <v>221.59</v>
      </c>
      <c r="X6">
        <v>87.93</v>
      </c>
      <c r="Y6">
        <v>5733</v>
      </c>
      <c r="Z6">
        <v>97.18</v>
      </c>
      <c r="AA6">
        <v>100</v>
      </c>
      <c r="AB6">
        <v>97.18</v>
      </c>
      <c r="AH6" t="s">
        <v>348</v>
      </c>
      <c r="AK6" t="s">
        <v>384</v>
      </c>
      <c r="AL6" t="s">
        <v>399</v>
      </c>
      <c r="AM6" t="s">
        <v>400</v>
      </c>
    </row>
    <row r="7" spans="1:40" x14ac:dyDescent="0.35">
      <c r="A7">
        <v>966</v>
      </c>
      <c r="B7" t="s">
        <v>342</v>
      </c>
      <c r="C7">
        <v>1</v>
      </c>
      <c r="D7" t="s">
        <v>343</v>
      </c>
      <c r="E7" s="97">
        <v>45911</v>
      </c>
      <c r="F7" t="s">
        <v>344</v>
      </c>
      <c r="G7">
        <v>372687</v>
      </c>
      <c r="H7">
        <v>67</v>
      </c>
      <c r="I7" s="98">
        <v>0.91442129629629632</v>
      </c>
      <c r="J7" t="s">
        <v>345</v>
      </c>
      <c r="K7">
        <v>1</v>
      </c>
      <c r="L7" t="s">
        <v>352</v>
      </c>
      <c r="M7" t="s">
        <v>357</v>
      </c>
      <c r="O7">
        <v>174</v>
      </c>
      <c r="P7" t="s">
        <v>369</v>
      </c>
      <c r="Q7" t="s">
        <v>353</v>
      </c>
      <c r="R7" s="99">
        <v>0.9145833333333333</v>
      </c>
      <c r="S7" t="s">
        <v>350</v>
      </c>
      <c r="T7">
        <v>77.3</v>
      </c>
      <c r="U7" s="98">
        <v>0.25208333333333333</v>
      </c>
      <c r="V7">
        <v>18</v>
      </c>
      <c r="W7">
        <v>21.62</v>
      </c>
      <c r="X7">
        <v>51.47</v>
      </c>
      <c r="Y7">
        <v>609</v>
      </c>
      <c r="Z7">
        <v>98.3</v>
      </c>
      <c r="AA7">
        <v>100</v>
      </c>
      <c r="AB7">
        <v>98.3</v>
      </c>
      <c r="AH7" t="s">
        <v>348</v>
      </c>
      <c r="AK7" t="s">
        <v>381</v>
      </c>
      <c r="AL7" t="s">
        <v>401</v>
      </c>
      <c r="AM7" t="s">
        <v>402</v>
      </c>
    </row>
    <row r="8" spans="1:40" x14ac:dyDescent="0.35">
      <c r="A8">
        <v>966</v>
      </c>
      <c r="B8" t="s">
        <v>342</v>
      </c>
      <c r="C8">
        <v>1</v>
      </c>
      <c r="D8" t="s">
        <v>343</v>
      </c>
      <c r="E8" s="97">
        <v>45911</v>
      </c>
      <c r="F8" t="s">
        <v>344</v>
      </c>
      <c r="G8">
        <v>372688</v>
      </c>
      <c r="H8">
        <v>67</v>
      </c>
      <c r="I8" s="98">
        <v>0.91481481481481486</v>
      </c>
      <c r="J8" t="s">
        <v>345</v>
      </c>
      <c r="K8">
        <v>1</v>
      </c>
      <c r="L8" t="s">
        <v>346</v>
      </c>
      <c r="M8" t="s">
        <v>371</v>
      </c>
      <c r="O8">
        <v>99</v>
      </c>
      <c r="P8" t="s">
        <v>347</v>
      </c>
      <c r="Q8" t="s">
        <v>353</v>
      </c>
      <c r="R8" s="99">
        <v>0.91527777777777775</v>
      </c>
      <c r="S8" t="s">
        <v>379</v>
      </c>
      <c r="T8">
        <v>56.5</v>
      </c>
      <c r="U8" s="98">
        <v>0.31180555555555556</v>
      </c>
      <c r="V8">
        <v>15</v>
      </c>
      <c r="W8">
        <v>139.58000000000001</v>
      </c>
      <c r="X8">
        <v>33.229999999999997</v>
      </c>
      <c r="Y8">
        <v>3648</v>
      </c>
      <c r="Z8">
        <v>28.39</v>
      </c>
      <c r="AA8">
        <v>89.8</v>
      </c>
      <c r="AB8">
        <v>29.84</v>
      </c>
      <c r="AH8" t="s">
        <v>348</v>
      </c>
      <c r="AK8" t="s">
        <v>377</v>
      </c>
      <c r="AL8" t="s">
        <v>403</v>
      </c>
      <c r="AM8" t="s">
        <v>404</v>
      </c>
    </row>
    <row r="9" spans="1:40" x14ac:dyDescent="0.35">
      <c r="A9">
        <v>966</v>
      </c>
      <c r="B9" t="s">
        <v>342</v>
      </c>
      <c r="C9">
        <v>1</v>
      </c>
      <c r="D9" t="s">
        <v>343</v>
      </c>
      <c r="E9" s="97">
        <v>45911</v>
      </c>
      <c r="F9" t="s">
        <v>344</v>
      </c>
      <c r="G9">
        <v>372689</v>
      </c>
      <c r="H9">
        <v>67</v>
      </c>
      <c r="I9" s="98">
        <v>0.91523148148148148</v>
      </c>
      <c r="J9" t="s">
        <v>345</v>
      </c>
      <c r="K9">
        <v>1</v>
      </c>
      <c r="L9" t="s">
        <v>346</v>
      </c>
      <c r="M9" t="s">
        <v>26</v>
      </c>
      <c r="O9">
        <v>19</v>
      </c>
      <c r="P9" t="s">
        <v>347</v>
      </c>
      <c r="Q9" t="s">
        <v>376</v>
      </c>
      <c r="R9" s="99">
        <v>4.2361111111111113E-2</v>
      </c>
      <c r="S9" t="s">
        <v>350</v>
      </c>
      <c r="T9">
        <v>39.130000000000003</v>
      </c>
      <c r="U9" s="98">
        <v>0.38819444444444445</v>
      </c>
      <c r="V9">
        <v>14</v>
      </c>
      <c r="W9">
        <v>229.94</v>
      </c>
      <c r="X9">
        <v>54.74</v>
      </c>
      <c r="Y9">
        <v>5958</v>
      </c>
      <c r="Z9">
        <v>46.37</v>
      </c>
      <c r="AA9">
        <v>100</v>
      </c>
      <c r="AB9">
        <v>54.74</v>
      </c>
      <c r="AH9" t="s">
        <v>348</v>
      </c>
      <c r="AK9" t="s">
        <v>405</v>
      </c>
      <c r="AL9" t="s">
        <v>406</v>
      </c>
      <c r="AM9" t="s">
        <v>407</v>
      </c>
    </row>
    <row r="10" spans="1:40" x14ac:dyDescent="0.35">
      <c r="A10">
        <v>966</v>
      </c>
      <c r="B10" t="s">
        <v>342</v>
      </c>
      <c r="C10">
        <v>1</v>
      </c>
      <c r="D10" t="s">
        <v>343</v>
      </c>
      <c r="E10" s="97">
        <v>45911</v>
      </c>
      <c r="F10" t="s">
        <v>344</v>
      </c>
      <c r="G10">
        <v>372690</v>
      </c>
      <c r="H10">
        <v>67</v>
      </c>
      <c r="I10" s="98">
        <v>0.9156481481481481</v>
      </c>
      <c r="J10" t="s">
        <v>345</v>
      </c>
      <c r="K10">
        <v>1</v>
      </c>
      <c r="L10" t="s">
        <v>346</v>
      </c>
      <c r="M10" t="s">
        <v>349</v>
      </c>
      <c r="O10">
        <v>134</v>
      </c>
      <c r="P10" t="s">
        <v>347</v>
      </c>
      <c r="Q10" t="s">
        <v>376</v>
      </c>
      <c r="R10" s="99">
        <v>4.8611111111111112E-2</v>
      </c>
      <c r="S10" t="s">
        <v>350</v>
      </c>
      <c r="T10">
        <v>114.15</v>
      </c>
      <c r="U10" s="98">
        <v>0.38611111111111113</v>
      </c>
      <c r="V10">
        <v>18</v>
      </c>
      <c r="W10">
        <v>182.08</v>
      </c>
      <c r="X10">
        <v>43.35</v>
      </c>
      <c r="Y10">
        <v>4801</v>
      </c>
      <c r="Z10">
        <v>37.36</v>
      </c>
      <c r="AA10">
        <v>100</v>
      </c>
      <c r="AB10">
        <v>43.35</v>
      </c>
      <c r="AH10" t="s">
        <v>348</v>
      </c>
      <c r="AK10" t="s">
        <v>408</v>
      </c>
      <c r="AL10" t="s">
        <v>409</v>
      </c>
      <c r="AM10" t="s">
        <v>410</v>
      </c>
    </row>
    <row r="11" spans="1:40" x14ac:dyDescent="0.35">
      <c r="A11">
        <v>966</v>
      </c>
      <c r="B11" t="s">
        <v>342</v>
      </c>
      <c r="C11">
        <v>1</v>
      </c>
      <c r="D11" t="s">
        <v>343</v>
      </c>
      <c r="E11" s="97">
        <v>45911</v>
      </c>
      <c r="F11" t="s">
        <v>344</v>
      </c>
      <c r="G11">
        <v>372691</v>
      </c>
      <c r="H11">
        <v>67</v>
      </c>
      <c r="I11" s="98">
        <v>0.91606481481481483</v>
      </c>
      <c r="J11" t="s">
        <v>345</v>
      </c>
      <c r="K11">
        <v>1</v>
      </c>
      <c r="L11" t="s">
        <v>351</v>
      </c>
      <c r="M11" t="s">
        <v>17</v>
      </c>
      <c r="O11">
        <v>93</v>
      </c>
      <c r="P11" t="s">
        <v>347</v>
      </c>
      <c r="Q11" t="s">
        <v>376</v>
      </c>
      <c r="R11" s="99">
        <v>0.19583333333333333</v>
      </c>
      <c r="S11" t="s">
        <v>350</v>
      </c>
      <c r="T11">
        <v>45.83</v>
      </c>
      <c r="U11" s="98">
        <v>0.37222222222222223</v>
      </c>
      <c r="V11">
        <v>21</v>
      </c>
      <c r="W11">
        <v>199.19</v>
      </c>
      <c r="X11">
        <v>64.67</v>
      </c>
      <c r="Y11">
        <v>5684</v>
      </c>
      <c r="Z11">
        <v>70.08</v>
      </c>
      <c r="AA11">
        <v>100</v>
      </c>
      <c r="AB11">
        <v>70.08</v>
      </c>
      <c r="AH11" t="s">
        <v>348</v>
      </c>
      <c r="AK11" t="s">
        <v>370</v>
      </c>
      <c r="AL11" t="s">
        <v>411</v>
      </c>
      <c r="AM11" t="s">
        <v>412</v>
      </c>
    </row>
    <row r="12" spans="1:40" x14ac:dyDescent="0.35">
      <c r="A12">
        <v>966</v>
      </c>
      <c r="B12" t="s">
        <v>342</v>
      </c>
      <c r="C12">
        <v>1</v>
      </c>
      <c r="D12" t="s">
        <v>343</v>
      </c>
      <c r="E12" s="97">
        <v>45911</v>
      </c>
      <c r="F12" t="s">
        <v>344</v>
      </c>
      <c r="G12">
        <v>372693</v>
      </c>
      <c r="H12">
        <v>67</v>
      </c>
      <c r="I12" s="98">
        <v>0.91892361111111109</v>
      </c>
      <c r="J12" t="s">
        <v>345</v>
      </c>
      <c r="K12">
        <v>1</v>
      </c>
      <c r="L12" t="s">
        <v>351</v>
      </c>
      <c r="M12" t="s">
        <v>15</v>
      </c>
      <c r="O12">
        <v>103</v>
      </c>
      <c r="P12" t="s">
        <v>347</v>
      </c>
      <c r="Q12" t="s">
        <v>376</v>
      </c>
      <c r="R12" s="99">
        <v>1.0416666666666666E-2</v>
      </c>
      <c r="S12" t="s">
        <v>350</v>
      </c>
      <c r="T12">
        <v>142.62</v>
      </c>
      <c r="U12" s="98">
        <v>0.38680555555555557</v>
      </c>
      <c r="V12">
        <v>17</v>
      </c>
      <c r="W12">
        <v>119.96</v>
      </c>
      <c r="X12">
        <v>35.700000000000003</v>
      </c>
      <c r="Y12">
        <v>3243</v>
      </c>
      <c r="Z12">
        <v>40.03</v>
      </c>
      <c r="AA12">
        <v>100</v>
      </c>
      <c r="AB12">
        <v>40.03</v>
      </c>
      <c r="AH12" t="s">
        <v>348</v>
      </c>
      <c r="AK12" t="s">
        <v>413</v>
      </c>
      <c r="AL12" t="s">
        <v>414</v>
      </c>
      <c r="AM12" t="s">
        <v>415</v>
      </c>
    </row>
    <row r="13" spans="1:40" x14ac:dyDescent="0.35">
      <c r="A13">
        <v>966</v>
      </c>
      <c r="B13" t="s">
        <v>342</v>
      </c>
      <c r="C13">
        <v>1</v>
      </c>
      <c r="D13" t="s">
        <v>343</v>
      </c>
      <c r="E13" s="97">
        <v>45911</v>
      </c>
      <c r="F13" t="s">
        <v>344</v>
      </c>
      <c r="G13">
        <v>372694</v>
      </c>
      <c r="H13">
        <v>67</v>
      </c>
      <c r="I13" s="98">
        <v>0.91935185185185186</v>
      </c>
      <c r="J13" t="s">
        <v>345</v>
      </c>
      <c r="K13">
        <v>1</v>
      </c>
      <c r="L13" t="s">
        <v>352</v>
      </c>
      <c r="M13" t="s">
        <v>304</v>
      </c>
      <c r="O13">
        <v>159</v>
      </c>
      <c r="P13" t="s">
        <v>347</v>
      </c>
      <c r="Q13" t="s">
        <v>376</v>
      </c>
      <c r="R13" s="99">
        <v>1.2500000000000001E-2</v>
      </c>
      <c r="S13" t="s">
        <v>350</v>
      </c>
      <c r="T13">
        <v>98.1</v>
      </c>
      <c r="U13" s="98">
        <v>0.33611111111111114</v>
      </c>
      <c r="V13">
        <v>10</v>
      </c>
      <c r="W13">
        <v>206.53</v>
      </c>
      <c r="X13">
        <v>81.95</v>
      </c>
      <c r="Y13">
        <v>5888</v>
      </c>
      <c r="Z13">
        <v>99.81</v>
      </c>
      <c r="AA13">
        <v>100</v>
      </c>
      <c r="AB13">
        <v>99.81</v>
      </c>
      <c r="AH13" t="s">
        <v>348</v>
      </c>
      <c r="AK13" t="s">
        <v>416</v>
      </c>
      <c r="AL13" t="s">
        <v>417</v>
      </c>
      <c r="AM13" t="s">
        <v>418</v>
      </c>
    </row>
    <row r="14" spans="1:40" x14ac:dyDescent="0.35">
      <c r="A14">
        <v>966</v>
      </c>
      <c r="B14" t="s">
        <v>342</v>
      </c>
      <c r="C14">
        <v>1</v>
      </c>
      <c r="D14" t="s">
        <v>343</v>
      </c>
      <c r="E14" s="97">
        <v>45911</v>
      </c>
      <c r="F14" t="s">
        <v>344</v>
      </c>
      <c r="G14">
        <v>372695</v>
      </c>
      <c r="H14">
        <v>67</v>
      </c>
      <c r="I14" s="98">
        <v>0.91976851851851849</v>
      </c>
      <c r="J14" t="s">
        <v>345</v>
      </c>
      <c r="K14">
        <v>1</v>
      </c>
      <c r="L14" t="s">
        <v>351</v>
      </c>
      <c r="M14" t="s">
        <v>18</v>
      </c>
      <c r="O14">
        <v>159</v>
      </c>
      <c r="P14" t="s">
        <v>347</v>
      </c>
      <c r="Q14" t="s">
        <v>376</v>
      </c>
      <c r="R14" s="99">
        <v>0.2013888888888889</v>
      </c>
      <c r="S14" t="s">
        <v>350</v>
      </c>
      <c r="T14">
        <v>109.09</v>
      </c>
      <c r="U14" s="98">
        <v>0.38819444444444445</v>
      </c>
      <c r="V14">
        <v>18</v>
      </c>
      <c r="W14">
        <v>190.47</v>
      </c>
      <c r="X14">
        <v>61.84</v>
      </c>
      <c r="Y14">
        <v>5287</v>
      </c>
      <c r="Z14">
        <v>65.27</v>
      </c>
      <c r="AA14">
        <v>100</v>
      </c>
      <c r="AB14">
        <v>65.27</v>
      </c>
      <c r="AH14" t="s">
        <v>348</v>
      </c>
      <c r="AK14" t="s">
        <v>419</v>
      </c>
      <c r="AL14" t="s">
        <v>420</v>
      </c>
      <c r="AM14" t="s">
        <v>421</v>
      </c>
    </row>
    <row r="15" spans="1:40" x14ac:dyDescent="0.35">
      <c r="A15">
        <v>966</v>
      </c>
      <c r="B15" t="s">
        <v>342</v>
      </c>
      <c r="C15">
        <v>1</v>
      </c>
      <c r="D15" t="s">
        <v>343</v>
      </c>
      <c r="E15" s="97">
        <v>45911</v>
      </c>
      <c r="F15" t="s">
        <v>344</v>
      </c>
      <c r="G15">
        <v>372696</v>
      </c>
      <c r="H15">
        <v>67</v>
      </c>
      <c r="I15" s="98">
        <v>0.92018518518518522</v>
      </c>
      <c r="J15" t="s">
        <v>345</v>
      </c>
      <c r="K15">
        <v>1</v>
      </c>
      <c r="L15" t="s">
        <v>346</v>
      </c>
      <c r="M15" t="s">
        <v>375</v>
      </c>
      <c r="O15">
        <v>159</v>
      </c>
      <c r="P15" t="s">
        <v>347</v>
      </c>
      <c r="Q15" t="s">
        <v>376</v>
      </c>
      <c r="R15" s="99">
        <v>2.4305555555555556E-2</v>
      </c>
      <c r="S15" t="s">
        <v>350</v>
      </c>
      <c r="T15">
        <v>56.83</v>
      </c>
      <c r="U15" s="98">
        <v>0.38055555555555554</v>
      </c>
      <c r="V15">
        <v>25</v>
      </c>
      <c r="W15">
        <v>162.03</v>
      </c>
      <c r="X15">
        <v>38.57</v>
      </c>
      <c r="Y15">
        <v>4081</v>
      </c>
      <c r="Z15">
        <v>31.76</v>
      </c>
      <c r="AA15">
        <v>100</v>
      </c>
      <c r="AB15">
        <v>38.57</v>
      </c>
      <c r="AH15" t="s">
        <v>348</v>
      </c>
      <c r="AK15" t="s">
        <v>422</v>
      </c>
      <c r="AL15" t="s">
        <v>423</v>
      </c>
      <c r="AM15" t="s">
        <v>424</v>
      </c>
    </row>
    <row r="16" spans="1:40" x14ac:dyDescent="0.35">
      <c r="A16">
        <v>966</v>
      </c>
      <c r="B16" t="s">
        <v>342</v>
      </c>
      <c r="C16">
        <v>1</v>
      </c>
      <c r="D16" t="s">
        <v>343</v>
      </c>
      <c r="E16" s="97">
        <v>45911</v>
      </c>
      <c r="F16" t="s">
        <v>344</v>
      </c>
      <c r="G16">
        <v>372698</v>
      </c>
      <c r="H16">
        <v>67</v>
      </c>
      <c r="I16" s="98">
        <v>0.96177083333333335</v>
      </c>
      <c r="J16" t="s">
        <v>345</v>
      </c>
      <c r="K16">
        <v>1</v>
      </c>
      <c r="L16" t="s">
        <v>346</v>
      </c>
      <c r="M16" t="s">
        <v>29</v>
      </c>
      <c r="O16">
        <v>15</v>
      </c>
      <c r="P16" t="s">
        <v>347</v>
      </c>
      <c r="Q16" t="s">
        <v>376</v>
      </c>
      <c r="R16" s="99">
        <v>0.18333333333333332</v>
      </c>
      <c r="S16" t="s">
        <v>350</v>
      </c>
      <c r="T16">
        <v>43.51</v>
      </c>
      <c r="U16" s="98">
        <v>0.3840277777777778</v>
      </c>
      <c r="V16">
        <v>11</v>
      </c>
      <c r="W16">
        <v>292.10000000000002</v>
      </c>
      <c r="X16">
        <v>69.540000000000006</v>
      </c>
      <c r="Y16">
        <v>7324</v>
      </c>
      <c r="Z16">
        <v>57</v>
      </c>
      <c r="AA16">
        <v>100</v>
      </c>
      <c r="AB16">
        <v>69.540000000000006</v>
      </c>
      <c r="AH16" t="s">
        <v>348</v>
      </c>
      <c r="AK16" t="s">
        <v>425</v>
      </c>
      <c r="AL16" t="s">
        <v>426</v>
      </c>
      <c r="AM16" t="s">
        <v>427</v>
      </c>
    </row>
    <row r="17" spans="1:39" x14ac:dyDescent="0.35">
      <c r="A17">
        <v>966</v>
      </c>
      <c r="B17" t="s">
        <v>342</v>
      </c>
      <c r="C17">
        <v>1</v>
      </c>
      <c r="D17" t="s">
        <v>343</v>
      </c>
      <c r="E17" s="97">
        <v>45911</v>
      </c>
      <c r="F17" t="s">
        <v>344</v>
      </c>
      <c r="G17">
        <v>372699</v>
      </c>
      <c r="H17">
        <v>67</v>
      </c>
      <c r="I17" s="98">
        <v>0.96215277777777775</v>
      </c>
      <c r="J17" t="s">
        <v>345</v>
      </c>
      <c r="K17">
        <v>1</v>
      </c>
      <c r="L17" t="s">
        <v>346</v>
      </c>
      <c r="M17" t="s">
        <v>22</v>
      </c>
      <c r="O17">
        <v>47</v>
      </c>
      <c r="P17" t="s">
        <v>347</v>
      </c>
      <c r="Q17" t="s">
        <v>376</v>
      </c>
      <c r="R17" s="99">
        <v>0.15694444444444444</v>
      </c>
      <c r="S17" t="s">
        <v>350</v>
      </c>
      <c r="T17">
        <v>50.83</v>
      </c>
      <c r="U17" s="98">
        <v>0.37777777777777777</v>
      </c>
      <c r="V17">
        <v>14</v>
      </c>
      <c r="W17">
        <v>186.03</v>
      </c>
      <c r="X17">
        <v>44.29</v>
      </c>
      <c r="Y17">
        <v>6070</v>
      </c>
      <c r="Z17">
        <v>47.23</v>
      </c>
      <c r="AA17">
        <v>100</v>
      </c>
      <c r="AB17">
        <v>47.23</v>
      </c>
      <c r="AH17" t="s">
        <v>348</v>
      </c>
      <c r="AK17" t="s">
        <v>405</v>
      </c>
      <c r="AL17" t="s">
        <v>428</v>
      </c>
      <c r="AM17" t="s">
        <v>429</v>
      </c>
    </row>
    <row r="18" spans="1:39" x14ac:dyDescent="0.35">
      <c r="A18">
        <v>966</v>
      </c>
      <c r="B18" t="s">
        <v>342</v>
      </c>
      <c r="C18">
        <v>1</v>
      </c>
      <c r="D18" t="s">
        <v>343</v>
      </c>
      <c r="E18" s="97">
        <v>45911</v>
      </c>
      <c r="F18" t="s">
        <v>344</v>
      </c>
      <c r="G18">
        <v>372700</v>
      </c>
      <c r="H18">
        <v>67</v>
      </c>
      <c r="I18" s="98">
        <v>0.9625231481481481</v>
      </c>
      <c r="J18" t="s">
        <v>345</v>
      </c>
      <c r="K18">
        <v>1</v>
      </c>
      <c r="L18" t="s">
        <v>351</v>
      </c>
      <c r="M18" t="s">
        <v>430</v>
      </c>
      <c r="O18">
        <v>119</v>
      </c>
      <c r="P18" t="s">
        <v>369</v>
      </c>
      <c r="Q18" t="s">
        <v>353</v>
      </c>
      <c r="R18" s="99">
        <v>0.96250000000000002</v>
      </c>
      <c r="S18" t="s">
        <v>350</v>
      </c>
      <c r="T18">
        <v>73.989999999999995</v>
      </c>
      <c r="U18" s="98">
        <v>0.22708333333333333</v>
      </c>
      <c r="V18">
        <v>2</v>
      </c>
      <c r="W18">
        <v>174.22</v>
      </c>
      <c r="X18">
        <v>51.85</v>
      </c>
      <c r="Y18">
        <v>4823</v>
      </c>
      <c r="Z18">
        <v>68.91</v>
      </c>
      <c r="AA18">
        <v>65.400000000000006</v>
      </c>
      <c r="AB18">
        <v>45.06</v>
      </c>
      <c r="AH18" t="s">
        <v>348</v>
      </c>
      <c r="AK18" t="s">
        <v>431</v>
      </c>
      <c r="AL18" t="s">
        <v>432</v>
      </c>
      <c r="AM18" t="s">
        <v>433</v>
      </c>
    </row>
    <row r="19" spans="1:39" x14ac:dyDescent="0.35">
      <c r="A19">
        <v>966</v>
      </c>
      <c r="B19" t="s">
        <v>342</v>
      </c>
      <c r="C19">
        <v>1</v>
      </c>
      <c r="D19" t="s">
        <v>343</v>
      </c>
      <c r="E19" s="97">
        <v>45911</v>
      </c>
      <c r="F19" t="s">
        <v>344</v>
      </c>
      <c r="G19">
        <v>372701</v>
      </c>
      <c r="H19">
        <v>67</v>
      </c>
      <c r="I19" s="98">
        <v>0.96289351851851857</v>
      </c>
      <c r="J19" t="s">
        <v>345</v>
      </c>
      <c r="K19">
        <v>1</v>
      </c>
      <c r="L19" t="s">
        <v>346</v>
      </c>
      <c r="M19" t="s">
        <v>382</v>
      </c>
      <c r="O19">
        <v>26</v>
      </c>
      <c r="P19" t="s">
        <v>347</v>
      </c>
      <c r="Q19" t="s">
        <v>376</v>
      </c>
      <c r="R19" s="99">
        <v>0.10208333333333333</v>
      </c>
      <c r="S19" t="s">
        <v>350</v>
      </c>
      <c r="T19">
        <v>24.55</v>
      </c>
      <c r="U19" s="98">
        <v>0.38750000000000001</v>
      </c>
      <c r="V19">
        <v>13</v>
      </c>
      <c r="W19">
        <v>295.52999999999997</v>
      </c>
      <c r="X19">
        <v>70.36</v>
      </c>
      <c r="Y19">
        <v>8006</v>
      </c>
      <c r="Z19">
        <v>62.3</v>
      </c>
      <c r="AA19">
        <v>100</v>
      </c>
      <c r="AB19">
        <v>70.36</v>
      </c>
      <c r="AH19" t="s">
        <v>348</v>
      </c>
      <c r="AK19" t="s">
        <v>434</v>
      </c>
      <c r="AL19" t="s">
        <v>435</v>
      </c>
      <c r="AM19" t="s">
        <v>436</v>
      </c>
    </row>
    <row r="20" spans="1:39" x14ac:dyDescent="0.35">
      <c r="A20">
        <v>966</v>
      </c>
      <c r="B20" t="s">
        <v>342</v>
      </c>
      <c r="C20">
        <v>1</v>
      </c>
      <c r="D20" t="s">
        <v>343</v>
      </c>
      <c r="E20" s="97">
        <v>45911</v>
      </c>
      <c r="F20" t="s">
        <v>344</v>
      </c>
      <c r="G20">
        <v>372702</v>
      </c>
      <c r="H20">
        <v>67</v>
      </c>
      <c r="I20" s="98">
        <v>0.963287037037037</v>
      </c>
      <c r="J20" t="s">
        <v>345</v>
      </c>
      <c r="K20">
        <v>1</v>
      </c>
      <c r="L20" t="s">
        <v>351</v>
      </c>
      <c r="M20" t="s">
        <v>23</v>
      </c>
      <c r="O20">
        <v>21</v>
      </c>
      <c r="P20" t="s">
        <v>347</v>
      </c>
      <c r="Q20" t="s">
        <v>376</v>
      </c>
      <c r="R20" s="99">
        <v>0.16944444444444445</v>
      </c>
      <c r="S20" t="s">
        <v>350</v>
      </c>
      <c r="T20">
        <v>99.71</v>
      </c>
      <c r="U20" s="98">
        <v>0.3840277777777778</v>
      </c>
      <c r="V20">
        <v>10</v>
      </c>
      <c r="W20">
        <v>232.31</v>
      </c>
      <c r="X20">
        <v>69.13</v>
      </c>
      <c r="Y20">
        <v>6493</v>
      </c>
      <c r="Z20">
        <v>76.39</v>
      </c>
      <c r="AA20">
        <v>100</v>
      </c>
      <c r="AB20">
        <v>76.39</v>
      </c>
      <c r="AH20" t="s">
        <v>348</v>
      </c>
      <c r="AK20" t="s">
        <v>437</v>
      </c>
      <c r="AL20" t="s">
        <v>438</v>
      </c>
      <c r="AM20" t="s">
        <v>439</v>
      </c>
    </row>
    <row r="21" spans="1:39" x14ac:dyDescent="0.35">
      <c r="A21">
        <v>966</v>
      </c>
      <c r="B21" t="s">
        <v>342</v>
      </c>
      <c r="C21">
        <v>1</v>
      </c>
      <c r="D21" t="s">
        <v>343</v>
      </c>
      <c r="E21" s="97">
        <v>45911</v>
      </c>
      <c r="F21" t="s">
        <v>344</v>
      </c>
      <c r="G21">
        <v>372703</v>
      </c>
      <c r="H21">
        <v>67</v>
      </c>
      <c r="I21" s="98">
        <v>0.9636689814814815</v>
      </c>
      <c r="J21" t="s">
        <v>345</v>
      </c>
      <c r="K21">
        <v>1</v>
      </c>
      <c r="L21" t="s">
        <v>351</v>
      </c>
      <c r="M21" t="s">
        <v>60</v>
      </c>
      <c r="O21">
        <v>182</v>
      </c>
      <c r="P21" t="s">
        <v>347</v>
      </c>
      <c r="Q21" t="s">
        <v>376</v>
      </c>
      <c r="R21" s="99">
        <v>0.22638888888888889</v>
      </c>
      <c r="S21" t="s">
        <v>350</v>
      </c>
      <c r="T21">
        <v>18.23</v>
      </c>
      <c r="U21" s="98">
        <v>0.28749999999999998</v>
      </c>
      <c r="V21">
        <v>13</v>
      </c>
      <c r="W21">
        <v>123.58</v>
      </c>
      <c r="X21">
        <v>32.69</v>
      </c>
      <c r="Y21">
        <v>3214</v>
      </c>
      <c r="Z21">
        <v>30.61</v>
      </c>
      <c r="AA21">
        <v>82.8</v>
      </c>
      <c r="AB21">
        <v>27.06</v>
      </c>
      <c r="AH21" t="s">
        <v>348</v>
      </c>
      <c r="AK21" t="s">
        <v>434</v>
      </c>
      <c r="AL21" t="s">
        <v>440</v>
      </c>
      <c r="AM21" t="s">
        <v>441</v>
      </c>
    </row>
    <row r="22" spans="1:39" x14ac:dyDescent="0.35">
      <c r="A22">
        <v>966</v>
      </c>
      <c r="B22" t="s">
        <v>342</v>
      </c>
      <c r="C22">
        <v>1</v>
      </c>
      <c r="D22" t="s">
        <v>343</v>
      </c>
      <c r="E22" s="97">
        <v>45911</v>
      </c>
      <c r="F22" t="s">
        <v>344</v>
      </c>
      <c r="G22">
        <v>372704</v>
      </c>
      <c r="H22">
        <v>67</v>
      </c>
      <c r="I22" s="98">
        <v>0.96406250000000004</v>
      </c>
      <c r="J22" t="s">
        <v>345</v>
      </c>
      <c r="K22">
        <v>1</v>
      </c>
      <c r="L22" t="s">
        <v>351</v>
      </c>
      <c r="M22" t="s">
        <v>20</v>
      </c>
      <c r="O22">
        <v>150</v>
      </c>
      <c r="P22" t="s">
        <v>347</v>
      </c>
      <c r="Q22" t="s">
        <v>376</v>
      </c>
      <c r="R22" s="99">
        <v>0.16250000000000001</v>
      </c>
      <c r="S22" t="s">
        <v>350</v>
      </c>
      <c r="T22">
        <v>93.83</v>
      </c>
      <c r="U22" s="98">
        <v>0.37847222222222221</v>
      </c>
      <c r="V22">
        <v>9</v>
      </c>
      <c r="W22">
        <v>285.27999999999997</v>
      </c>
      <c r="X22">
        <v>84.9</v>
      </c>
      <c r="Y22">
        <v>8061</v>
      </c>
      <c r="Z22">
        <v>99.52</v>
      </c>
      <c r="AA22">
        <v>100</v>
      </c>
      <c r="AB22">
        <v>99.52</v>
      </c>
      <c r="AH22" t="s">
        <v>348</v>
      </c>
      <c r="AK22" t="s">
        <v>442</v>
      </c>
      <c r="AL22" t="s">
        <v>443</v>
      </c>
      <c r="AM22" t="s">
        <v>444</v>
      </c>
    </row>
    <row r="23" spans="1:39" x14ac:dyDescent="0.35">
      <c r="A23">
        <v>966</v>
      </c>
      <c r="B23" t="s">
        <v>342</v>
      </c>
      <c r="C23">
        <v>1</v>
      </c>
      <c r="D23" t="s">
        <v>343</v>
      </c>
      <c r="E23" s="97">
        <v>45911</v>
      </c>
      <c r="F23" t="s">
        <v>344</v>
      </c>
      <c r="G23">
        <v>372705</v>
      </c>
      <c r="H23">
        <v>67</v>
      </c>
      <c r="I23" s="98">
        <v>0.96444444444444444</v>
      </c>
      <c r="J23" t="s">
        <v>345</v>
      </c>
      <c r="K23">
        <v>1</v>
      </c>
      <c r="L23" t="s">
        <v>351</v>
      </c>
      <c r="M23" t="s">
        <v>356</v>
      </c>
      <c r="O23">
        <v>970</v>
      </c>
      <c r="P23" t="s">
        <v>369</v>
      </c>
      <c r="Q23" t="s">
        <v>353</v>
      </c>
      <c r="R23" s="99">
        <v>0.96458333333333335</v>
      </c>
      <c r="S23" t="s">
        <v>350</v>
      </c>
      <c r="T23">
        <v>17.86</v>
      </c>
      <c r="U23" s="98">
        <v>0.15763888888888888</v>
      </c>
      <c r="V23">
        <v>2</v>
      </c>
      <c r="W23">
        <v>172.09</v>
      </c>
      <c r="X23">
        <v>51.21</v>
      </c>
      <c r="Y23">
        <v>4577</v>
      </c>
      <c r="Z23">
        <v>76.290000000000006</v>
      </c>
      <c r="AA23">
        <v>45.4</v>
      </c>
      <c r="AB23">
        <v>34.630000000000003</v>
      </c>
      <c r="AH23" t="s">
        <v>348</v>
      </c>
      <c r="AK23" t="s">
        <v>390</v>
      </c>
      <c r="AL23" t="s">
        <v>445</v>
      </c>
      <c r="AM23" t="s">
        <v>446</v>
      </c>
    </row>
    <row r="24" spans="1:39" x14ac:dyDescent="0.35">
      <c r="A24">
        <v>966</v>
      </c>
      <c r="B24" t="s">
        <v>342</v>
      </c>
      <c r="C24">
        <v>1</v>
      </c>
      <c r="D24" t="s">
        <v>343</v>
      </c>
      <c r="E24" s="97">
        <v>45911</v>
      </c>
      <c r="F24" t="s">
        <v>344</v>
      </c>
      <c r="G24">
        <v>372706</v>
      </c>
      <c r="H24">
        <v>67</v>
      </c>
      <c r="I24" s="98">
        <v>0.96482638888888894</v>
      </c>
      <c r="J24" t="s">
        <v>345</v>
      </c>
      <c r="K24">
        <v>1</v>
      </c>
      <c r="L24" t="s">
        <v>352</v>
      </c>
      <c r="M24" t="s">
        <v>355</v>
      </c>
      <c r="O24">
        <v>40</v>
      </c>
      <c r="P24" t="s">
        <v>369</v>
      </c>
      <c r="Q24" t="s">
        <v>353</v>
      </c>
      <c r="R24" s="99">
        <v>0.96527777777777779</v>
      </c>
      <c r="S24" t="s">
        <v>350</v>
      </c>
      <c r="T24">
        <v>39.17</v>
      </c>
      <c r="U24" s="98">
        <v>0.1361111111111111</v>
      </c>
      <c r="V24">
        <v>12</v>
      </c>
      <c r="W24">
        <v>22.51</v>
      </c>
      <c r="X24">
        <v>53.59</v>
      </c>
      <c r="Y24">
        <v>589</v>
      </c>
      <c r="Z24">
        <v>95.04</v>
      </c>
      <c r="AA24">
        <v>100</v>
      </c>
      <c r="AB24">
        <v>95.04</v>
      </c>
      <c r="AH24" t="s">
        <v>348</v>
      </c>
      <c r="AK24" t="s">
        <v>383</v>
      </c>
      <c r="AL24" t="s">
        <v>447</v>
      </c>
      <c r="AM24" t="s">
        <v>448</v>
      </c>
    </row>
    <row r="25" spans="1:39" x14ac:dyDescent="0.35">
      <c r="A25">
        <v>966</v>
      </c>
      <c r="B25" t="s">
        <v>342</v>
      </c>
      <c r="C25">
        <v>1</v>
      </c>
      <c r="D25" t="s">
        <v>343</v>
      </c>
      <c r="E25" s="97">
        <v>45911</v>
      </c>
      <c r="F25" t="s">
        <v>344</v>
      </c>
      <c r="G25">
        <v>372707</v>
      </c>
      <c r="H25">
        <v>67</v>
      </c>
      <c r="I25" s="98">
        <v>0.96521990740740737</v>
      </c>
      <c r="J25" t="s">
        <v>345</v>
      </c>
      <c r="K25">
        <v>1</v>
      </c>
      <c r="L25" t="s">
        <v>351</v>
      </c>
      <c r="M25" t="s">
        <v>373</v>
      </c>
      <c r="O25">
        <v>149</v>
      </c>
      <c r="P25" t="s">
        <v>347</v>
      </c>
      <c r="Q25" t="s">
        <v>376</v>
      </c>
      <c r="R25" s="99">
        <v>7.8472222222222221E-2</v>
      </c>
      <c r="S25" t="s">
        <v>350</v>
      </c>
      <c r="T25">
        <v>30.82</v>
      </c>
      <c r="U25" s="98">
        <v>0.38472222222222224</v>
      </c>
      <c r="V25">
        <v>11</v>
      </c>
      <c r="W25">
        <v>334.22</v>
      </c>
      <c r="X25">
        <v>88.41</v>
      </c>
      <c r="Y25">
        <v>9008</v>
      </c>
      <c r="Z25">
        <v>85.79</v>
      </c>
      <c r="AA25">
        <v>100</v>
      </c>
      <c r="AB25">
        <v>88.41</v>
      </c>
      <c r="AH25" t="s">
        <v>348</v>
      </c>
      <c r="AK25" t="s">
        <v>380</v>
      </c>
      <c r="AL25" t="s">
        <v>449</v>
      </c>
      <c r="AM25" t="s">
        <v>450</v>
      </c>
    </row>
    <row r="26" spans="1:39" x14ac:dyDescent="0.35">
      <c r="A26">
        <v>966</v>
      </c>
      <c r="B26" t="s">
        <v>342</v>
      </c>
      <c r="C26">
        <v>1</v>
      </c>
      <c r="D26" t="s">
        <v>343</v>
      </c>
      <c r="E26" s="97">
        <v>45911</v>
      </c>
      <c r="F26" t="s">
        <v>344</v>
      </c>
      <c r="G26">
        <v>372708</v>
      </c>
      <c r="H26">
        <v>67</v>
      </c>
      <c r="I26" s="98">
        <v>0.96561342592592592</v>
      </c>
      <c r="J26" t="s">
        <v>345</v>
      </c>
      <c r="K26">
        <v>1</v>
      </c>
      <c r="L26" t="s">
        <v>351</v>
      </c>
      <c r="M26" t="s">
        <v>72</v>
      </c>
      <c r="O26">
        <v>126</v>
      </c>
      <c r="P26" t="s">
        <v>347</v>
      </c>
      <c r="Q26" t="s">
        <v>376</v>
      </c>
      <c r="R26" s="99">
        <v>6.5277777777777782E-2</v>
      </c>
      <c r="S26" t="s">
        <v>350</v>
      </c>
      <c r="T26">
        <v>45.63</v>
      </c>
      <c r="U26" s="98">
        <v>0.38472222222222224</v>
      </c>
      <c r="V26">
        <v>14</v>
      </c>
      <c r="W26">
        <v>247.09</v>
      </c>
      <c r="X26">
        <v>73.53</v>
      </c>
      <c r="Y26">
        <v>6493</v>
      </c>
      <c r="Z26">
        <v>80.16</v>
      </c>
      <c r="AA26">
        <v>100</v>
      </c>
      <c r="AB26">
        <v>80.16</v>
      </c>
      <c r="AH26" t="s">
        <v>348</v>
      </c>
      <c r="AK26" t="s">
        <v>451</v>
      </c>
      <c r="AL26" t="s">
        <v>452</v>
      </c>
      <c r="AM26" t="s">
        <v>453</v>
      </c>
    </row>
    <row r="27" spans="1:39" x14ac:dyDescent="0.35">
      <c r="A27">
        <v>966</v>
      </c>
      <c r="B27" t="s">
        <v>342</v>
      </c>
      <c r="C27">
        <v>1</v>
      </c>
      <c r="D27" t="s">
        <v>343</v>
      </c>
      <c r="E27" s="97">
        <v>45911</v>
      </c>
      <c r="F27" t="s">
        <v>344</v>
      </c>
      <c r="G27">
        <v>372709</v>
      </c>
      <c r="H27">
        <v>67</v>
      </c>
      <c r="I27" s="98">
        <v>0.96599537037037042</v>
      </c>
      <c r="J27" t="s">
        <v>345</v>
      </c>
      <c r="K27">
        <v>1</v>
      </c>
      <c r="L27" t="s">
        <v>352</v>
      </c>
      <c r="M27" t="s">
        <v>12</v>
      </c>
      <c r="O27">
        <v>2</v>
      </c>
      <c r="P27" t="s">
        <v>347</v>
      </c>
      <c r="Q27" t="s">
        <v>376</v>
      </c>
      <c r="R27" s="99">
        <v>5.7638888888888892E-2</v>
      </c>
      <c r="S27" t="s">
        <v>350</v>
      </c>
      <c r="T27">
        <v>51.48</v>
      </c>
      <c r="U27" s="98">
        <v>0.38541666666666669</v>
      </c>
      <c r="V27">
        <v>17</v>
      </c>
      <c r="W27">
        <v>225.05</v>
      </c>
      <c r="X27">
        <v>89.3</v>
      </c>
      <c r="Y27">
        <v>5526</v>
      </c>
      <c r="Z27">
        <v>93.66</v>
      </c>
      <c r="AA27">
        <v>100</v>
      </c>
      <c r="AB27">
        <v>93.66</v>
      </c>
      <c r="AH27" t="s">
        <v>348</v>
      </c>
      <c r="AK27" t="s">
        <v>386</v>
      </c>
      <c r="AL27" t="s">
        <v>454</v>
      </c>
      <c r="AM27" t="s">
        <v>455</v>
      </c>
    </row>
    <row r="28" spans="1:39" x14ac:dyDescent="0.35">
      <c r="A28">
        <v>966</v>
      </c>
      <c r="B28" t="s">
        <v>342</v>
      </c>
      <c r="C28">
        <v>1</v>
      </c>
      <c r="D28" t="s">
        <v>343</v>
      </c>
      <c r="E28" s="97">
        <v>45911</v>
      </c>
      <c r="F28" t="s">
        <v>344</v>
      </c>
      <c r="G28">
        <v>372710</v>
      </c>
      <c r="H28">
        <v>67</v>
      </c>
      <c r="I28" s="98">
        <v>0.96636574074074078</v>
      </c>
      <c r="J28" t="s">
        <v>345</v>
      </c>
      <c r="K28">
        <v>1</v>
      </c>
      <c r="L28" t="s">
        <v>352</v>
      </c>
      <c r="M28" t="s">
        <v>378</v>
      </c>
      <c r="O28">
        <v>60</v>
      </c>
      <c r="P28" t="s">
        <v>369</v>
      </c>
      <c r="Q28" t="s">
        <v>353</v>
      </c>
      <c r="R28" s="99">
        <v>0.96666666666666667</v>
      </c>
      <c r="S28" t="s">
        <v>350</v>
      </c>
      <c r="T28">
        <v>45.15</v>
      </c>
      <c r="U28" s="98">
        <v>0.14097222222222222</v>
      </c>
      <c r="V28">
        <v>10</v>
      </c>
      <c r="W28">
        <v>22.3</v>
      </c>
      <c r="X28">
        <v>53.09</v>
      </c>
      <c r="Y28">
        <v>594</v>
      </c>
      <c r="Z28">
        <v>95.82</v>
      </c>
      <c r="AA28">
        <v>100</v>
      </c>
      <c r="AB28">
        <v>95.82</v>
      </c>
      <c r="AH28" t="s">
        <v>348</v>
      </c>
      <c r="AK28" t="s">
        <v>456</v>
      </c>
      <c r="AL28" t="s">
        <v>457</v>
      </c>
      <c r="AM28" t="s">
        <v>458</v>
      </c>
    </row>
    <row r="29" spans="1:39" x14ac:dyDescent="0.35">
      <c r="A29">
        <v>966</v>
      </c>
      <c r="B29" t="s">
        <v>342</v>
      </c>
      <c r="C29">
        <v>1</v>
      </c>
      <c r="D29" t="s">
        <v>343</v>
      </c>
      <c r="E29" s="97">
        <v>45911</v>
      </c>
      <c r="F29" t="s">
        <v>344</v>
      </c>
      <c r="G29">
        <v>372711</v>
      </c>
      <c r="H29">
        <v>67</v>
      </c>
      <c r="I29" s="98">
        <v>0.96674768518518517</v>
      </c>
      <c r="J29" t="s">
        <v>345</v>
      </c>
      <c r="K29">
        <v>1</v>
      </c>
      <c r="L29" t="s">
        <v>346</v>
      </c>
      <c r="M29" t="s">
        <v>13</v>
      </c>
      <c r="O29">
        <v>120</v>
      </c>
      <c r="P29" t="s">
        <v>347</v>
      </c>
      <c r="Q29" t="s">
        <v>376</v>
      </c>
      <c r="R29" s="99">
        <v>9.166666666666666E-2</v>
      </c>
      <c r="S29" t="s">
        <v>350</v>
      </c>
      <c r="T29">
        <v>53.39</v>
      </c>
      <c r="U29" s="98">
        <v>0.36458333333333331</v>
      </c>
      <c r="V29">
        <v>10</v>
      </c>
      <c r="W29">
        <v>256.97000000000003</v>
      </c>
      <c r="X29">
        <v>61.18</v>
      </c>
      <c r="Y29">
        <v>6636</v>
      </c>
      <c r="Z29">
        <v>51.64</v>
      </c>
      <c r="AA29">
        <v>100</v>
      </c>
      <c r="AB29">
        <v>61.18</v>
      </c>
      <c r="AH29" t="s">
        <v>348</v>
      </c>
      <c r="AK29" t="s">
        <v>459</v>
      </c>
      <c r="AL29" t="s">
        <v>460</v>
      </c>
      <c r="AM29" t="s">
        <v>461</v>
      </c>
    </row>
    <row r="30" spans="1:39" x14ac:dyDescent="0.35">
      <c r="A30">
        <v>966</v>
      </c>
      <c r="B30" t="s">
        <v>342</v>
      </c>
      <c r="C30">
        <v>1</v>
      </c>
      <c r="D30" t="s">
        <v>343</v>
      </c>
      <c r="E30" s="97">
        <v>45911</v>
      </c>
      <c r="F30" t="s">
        <v>344</v>
      </c>
      <c r="G30">
        <v>372712</v>
      </c>
      <c r="H30">
        <v>67</v>
      </c>
      <c r="I30" s="98">
        <v>0.96712962962962967</v>
      </c>
      <c r="J30" t="s">
        <v>345</v>
      </c>
      <c r="K30">
        <v>1</v>
      </c>
      <c r="L30" t="s">
        <v>351</v>
      </c>
      <c r="M30" t="s">
        <v>25</v>
      </c>
      <c r="O30">
        <v>98</v>
      </c>
      <c r="P30" t="s">
        <v>347</v>
      </c>
      <c r="Q30" t="s">
        <v>376</v>
      </c>
      <c r="R30" s="99">
        <v>0.21805555555555556</v>
      </c>
      <c r="S30" t="s">
        <v>350</v>
      </c>
      <c r="T30">
        <v>61.08</v>
      </c>
      <c r="U30" s="98">
        <v>0.38194444444444442</v>
      </c>
      <c r="V30">
        <v>20</v>
      </c>
      <c r="W30">
        <v>212.55</v>
      </c>
      <c r="X30">
        <v>63.25</v>
      </c>
      <c r="Y30">
        <v>5290</v>
      </c>
      <c r="Z30">
        <v>62.24</v>
      </c>
      <c r="AA30">
        <v>100</v>
      </c>
      <c r="AB30">
        <v>63.25</v>
      </c>
      <c r="AH30" t="s">
        <v>348</v>
      </c>
      <c r="AK30" t="s">
        <v>374</v>
      </c>
      <c r="AL30" t="s">
        <v>462</v>
      </c>
      <c r="AM30" t="s">
        <v>463</v>
      </c>
    </row>
    <row r="31" spans="1:39" x14ac:dyDescent="0.35">
      <c r="A31">
        <v>966</v>
      </c>
      <c r="B31" t="s">
        <v>342</v>
      </c>
      <c r="C31">
        <v>1</v>
      </c>
      <c r="D31" t="s">
        <v>343</v>
      </c>
      <c r="E31" s="97">
        <v>45911</v>
      </c>
      <c r="F31" t="s">
        <v>344</v>
      </c>
      <c r="G31">
        <v>372713</v>
      </c>
      <c r="H31">
        <v>67</v>
      </c>
      <c r="I31" s="98">
        <v>0.96751157407407407</v>
      </c>
      <c r="J31" t="s">
        <v>345</v>
      </c>
      <c r="K31">
        <v>1</v>
      </c>
      <c r="L31" t="s">
        <v>346</v>
      </c>
      <c r="M31" t="s">
        <v>464</v>
      </c>
      <c r="O31">
        <v>130</v>
      </c>
      <c r="P31" t="s">
        <v>347</v>
      </c>
      <c r="Q31" t="s">
        <v>376</v>
      </c>
      <c r="R31" s="99">
        <v>0.21666666666666667</v>
      </c>
      <c r="S31" t="s">
        <v>350</v>
      </c>
      <c r="T31">
        <v>33.08</v>
      </c>
      <c r="U31" s="98">
        <v>0.3888888888888889</v>
      </c>
      <c r="V31">
        <v>21</v>
      </c>
      <c r="W31">
        <v>198.67</v>
      </c>
      <c r="X31">
        <v>47.3</v>
      </c>
      <c r="Y31">
        <v>5230</v>
      </c>
      <c r="Z31">
        <v>41.34</v>
      </c>
      <c r="AA31">
        <v>100</v>
      </c>
      <c r="AB31">
        <v>47.3</v>
      </c>
      <c r="AH31" t="s">
        <v>348</v>
      </c>
      <c r="AK31" t="s">
        <v>370</v>
      </c>
      <c r="AL31" t="s">
        <v>465</v>
      </c>
      <c r="AM31" t="s">
        <v>466</v>
      </c>
    </row>
    <row r="32" spans="1:39" x14ac:dyDescent="0.35">
      <c r="A32">
        <v>966</v>
      </c>
      <c r="B32" t="s">
        <v>342</v>
      </c>
      <c r="C32">
        <v>1</v>
      </c>
      <c r="D32" t="s">
        <v>343</v>
      </c>
      <c r="E32" s="97">
        <v>45911</v>
      </c>
      <c r="F32" t="s">
        <v>344</v>
      </c>
      <c r="G32">
        <v>372714</v>
      </c>
      <c r="H32">
        <v>67</v>
      </c>
      <c r="I32" s="98">
        <v>0.96788194444444442</v>
      </c>
      <c r="J32" t="s">
        <v>345</v>
      </c>
      <c r="K32">
        <v>1</v>
      </c>
      <c r="L32" t="s">
        <v>351</v>
      </c>
      <c r="M32" t="s">
        <v>27</v>
      </c>
      <c r="O32">
        <v>159</v>
      </c>
      <c r="P32" t="s">
        <v>347</v>
      </c>
      <c r="Q32" t="s">
        <v>376</v>
      </c>
      <c r="R32" s="99">
        <v>0.1763888888888889</v>
      </c>
      <c r="S32" t="s">
        <v>350</v>
      </c>
      <c r="T32">
        <v>116.14</v>
      </c>
      <c r="U32" s="98">
        <v>0.37708333333333333</v>
      </c>
      <c r="V32">
        <v>22</v>
      </c>
      <c r="W32">
        <v>78.260000000000005</v>
      </c>
      <c r="X32">
        <v>23.29</v>
      </c>
      <c r="Y32">
        <v>2087</v>
      </c>
      <c r="Z32">
        <v>24.55</v>
      </c>
      <c r="AA32">
        <v>100</v>
      </c>
      <c r="AB32">
        <v>24.55</v>
      </c>
      <c r="AH32" t="s">
        <v>348</v>
      </c>
      <c r="AK32" t="s">
        <v>467</v>
      </c>
      <c r="AL32" t="s">
        <v>468</v>
      </c>
      <c r="AM32" t="s">
        <v>469</v>
      </c>
    </row>
    <row r="33" spans="1:39" x14ac:dyDescent="0.35">
      <c r="A33">
        <v>966</v>
      </c>
      <c r="B33" t="s">
        <v>342</v>
      </c>
      <c r="C33">
        <v>1</v>
      </c>
      <c r="D33" t="s">
        <v>343</v>
      </c>
      <c r="E33" s="97">
        <v>45911</v>
      </c>
      <c r="F33" t="s">
        <v>344</v>
      </c>
      <c r="G33">
        <v>372715</v>
      </c>
      <c r="H33">
        <v>67</v>
      </c>
      <c r="I33" s="98">
        <v>0.96825231481481477</v>
      </c>
      <c r="J33" t="s">
        <v>345</v>
      </c>
      <c r="K33">
        <v>1</v>
      </c>
      <c r="L33" t="s">
        <v>346</v>
      </c>
      <c r="M33" t="s">
        <v>14</v>
      </c>
      <c r="O33">
        <v>89</v>
      </c>
      <c r="P33" t="s">
        <v>347</v>
      </c>
      <c r="Q33" t="s">
        <v>376</v>
      </c>
      <c r="R33" s="99">
        <v>0.19166666666666668</v>
      </c>
      <c r="S33" t="s">
        <v>350</v>
      </c>
      <c r="T33">
        <v>24.43</v>
      </c>
      <c r="U33" s="98">
        <v>0.3576388888888889</v>
      </c>
      <c r="V33">
        <v>12</v>
      </c>
      <c r="W33">
        <v>305.14</v>
      </c>
      <c r="X33">
        <v>72.650000000000006</v>
      </c>
      <c r="Y33">
        <v>8095</v>
      </c>
      <c r="Z33">
        <v>63</v>
      </c>
      <c r="AA33">
        <v>100</v>
      </c>
      <c r="AB33">
        <v>72.650000000000006</v>
      </c>
      <c r="AH33" t="s">
        <v>348</v>
      </c>
      <c r="AK33" t="s">
        <v>470</v>
      </c>
      <c r="AL33" t="s">
        <v>471</v>
      </c>
      <c r="AM33" t="s">
        <v>472</v>
      </c>
    </row>
    <row r="34" spans="1:39" x14ac:dyDescent="0.35">
      <c r="A34">
        <v>966</v>
      </c>
      <c r="B34" t="s">
        <v>342</v>
      </c>
      <c r="C34">
        <v>1</v>
      </c>
      <c r="D34" t="s">
        <v>343</v>
      </c>
      <c r="E34" s="97">
        <v>45911</v>
      </c>
      <c r="F34" t="s">
        <v>344</v>
      </c>
      <c r="G34">
        <v>372716</v>
      </c>
      <c r="H34">
        <v>67</v>
      </c>
      <c r="I34" s="98">
        <v>0.96862268518518524</v>
      </c>
      <c r="J34" t="s">
        <v>345</v>
      </c>
      <c r="K34">
        <v>1</v>
      </c>
      <c r="L34" t="s">
        <v>351</v>
      </c>
      <c r="M34" t="s">
        <v>84</v>
      </c>
      <c r="O34">
        <v>168</v>
      </c>
      <c r="P34" t="s">
        <v>347</v>
      </c>
      <c r="Q34" t="s">
        <v>376</v>
      </c>
      <c r="R34" s="99">
        <v>7.6388888888888895E-2</v>
      </c>
      <c r="S34" t="s">
        <v>350</v>
      </c>
      <c r="T34">
        <v>43.51</v>
      </c>
      <c r="U34" s="98">
        <v>0.38472222222222224</v>
      </c>
      <c r="V34">
        <v>15</v>
      </c>
      <c r="W34">
        <v>227.02</v>
      </c>
      <c r="X34">
        <v>67.56</v>
      </c>
      <c r="Y34">
        <v>5903</v>
      </c>
      <c r="Z34">
        <v>72.88</v>
      </c>
      <c r="AA34">
        <v>100</v>
      </c>
      <c r="AB34">
        <v>72.88</v>
      </c>
      <c r="AH34" t="s">
        <v>348</v>
      </c>
      <c r="AK34" t="s">
        <v>377</v>
      </c>
      <c r="AL34" t="s">
        <v>473</v>
      </c>
      <c r="AM34" t="s">
        <v>474</v>
      </c>
    </row>
    <row r="35" spans="1:39" x14ac:dyDescent="0.35">
      <c r="A35">
        <v>966</v>
      </c>
      <c r="B35" t="s">
        <v>342</v>
      </c>
      <c r="C35">
        <v>1</v>
      </c>
      <c r="D35" t="s">
        <v>343</v>
      </c>
      <c r="E35" s="97">
        <v>45911</v>
      </c>
      <c r="F35" t="s">
        <v>344</v>
      </c>
      <c r="G35">
        <v>372717</v>
      </c>
      <c r="H35">
        <v>67</v>
      </c>
      <c r="I35" s="98">
        <v>0.96900462962962963</v>
      </c>
      <c r="J35" t="s">
        <v>345</v>
      </c>
      <c r="K35">
        <v>1</v>
      </c>
      <c r="L35" t="s">
        <v>346</v>
      </c>
      <c r="M35" t="s">
        <v>475</v>
      </c>
      <c r="O35">
        <v>159</v>
      </c>
      <c r="P35" t="s">
        <v>347</v>
      </c>
      <c r="Q35" t="s">
        <v>376</v>
      </c>
      <c r="R35" s="99">
        <v>0.22222222222222221</v>
      </c>
      <c r="S35" t="s">
        <v>350</v>
      </c>
      <c r="T35">
        <v>38.42</v>
      </c>
      <c r="U35" s="98">
        <v>0.38333333333333336</v>
      </c>
      <c r="V35">
        <v>20</v>
      </c>
      <c r="W35">
        <v>145.57</v>
      </c>
      <c r="X35">
        <v>34.65</v>
      </c>
      <c r="Y35">
        <v>3832</v>
      </c>
      <c r="Z35">
        <v>29.93</v>
      </c>
      <c r="AA35">
        <v>100</v>
      </c>
      <c r="AB35">
        <v>34.65</v>
      </c>
      <c r="AH35" t="s">
        <v>348</v>
      </c>
      <c r="AK35" t="s">
        <v>476</v>
      </c>
      <c r="AL35" t="s">
        <v>477</v>
      </c>
      <c r="AM35" t="s">
        <v>478</v>
      </c>
    </row>
    <row r="36" spans="1:39" x14ac:dyDescent="0.35">
      <c r="A36">
        <v>966</v>
      </c>
      <c r="B36" t="s">
        <v>342</v>
      </c>
      <c r="C36">
        <v>1</v>
      </c>
      <c r="D36" t="s">
        <v>343</v>
      </c>
      <c r="E36" s="97">
        <v>45911</v>
      </c>
      <c r="F36" t="s">
        <v>344</v>
      </c>
      <c r="G36">
        <v>372718</v>
      </c>
      <c r="H36">
        <v>67</v>
      </c>
      <c r="I36" s="98">
        <v>0.96937499999999999</v>
      </c>
      <c r="J36" t="s">
        <v>345</v>
      </c>
      <c r="K36">
        <v>1</v>
      </c>
      <c r="L36" t="s">
        <v>346</v>
      </c>
      <c r="M36" t="s">
        <v>28</v>
      </c>
      <c r="O36">
        <v>159</v>
      </c>
      <c r="P36" t="s">
        <v>347</v>
      </c>
      <c r="Q36" t="s">
        <v>376</v>
      </c>
      <c r="R36" s="99">
        <v>0.20833333333333334</v>
      </c>
      <c r="S36" t="s">
        <v>350</v>
      </c>
      <c r="T36">
        <v>33.06</v>
      </c>
      <c r="U36" s="98">
        <v>0.38333333333333336</v>
      </c>
      <c r="V36">
        <v>20</v>
      </c>
      <c r="W36">
        <v>194.2</v>
      </c>
      <c r="X36">
        <v>46.23</v>
      </c>
      <c r="Y36">
        <v>5097</v>
      </c>
      <c r="Z36">
        <v>40.299999999999997</v>
      </c>
      <c r="AA36">
        <v>100</v>
      </c>
      <c r="AB36">
        <v>46.23</v>
      </c>
      <c r="AH36" t="s">
        <v>348</v>
      </c>
      <c r="AK36" t="s">
        <v>374</v>
      </c>
      <c r="AL36" t="s">
        <v>479</v>
      </c>
      <c r="AM36" t="s">
        <v>480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D352D-E772-4D59-80E6-FAED6C49B356}">
  <sheetPr codeName="Planilha2"/>
  <dimension ref="A1:AJ138"/>
  <sheetViews>
    <sheetView showGridLines="0" tabSelected="1" zoomScale="40" zoomScaleNormal="40" workbookViewId="0">
      <selection activeCell="C9" sqref="C9"/>
    </sheetView>
  </sheetViews>
  <sheetFormatPr defaultColWidth="9.08984375" defaultRowHeight="14.5" outlineLevelCol="1" x14ac:dyDescent="0.35"/>
  <cols>
    <col min="1" max="1" width="8.36328125" style="27" customWidth="1"/>
    <col min="2" max="2" width="6.08984375" style="1" customWidth="1"/>
    <col min="3" max="3" width="18.90625" style="1" customWidth="1"/>
    <col min="4" max="4" width="20.90625" style="1" customWidth="1"/>
    <col min="5" max="5" width="80.08984375" style="1" bestFit="1" customWidth="1"/>
    <col min="6" max="6" width="69.36328125" style="1" customWidth="1"/>
    <col min="7" max="7" width="52.90625" style="1" customWidth="1"/>
    <col min="8" max="8" width="27.7265625" style="1" hidden="1" customWidth="1" outlineLevel="1"/>
    <col min="9" max="9" width="93.08984375" style="1" customWidth="1" collapsed="1"/>
    <col min="10" max="10" width="97.08984375" style="29" hidden="1" customWidth="1" outlineLevel="1"/>
    <col min="11" max="11" width="31.90625" style="1" bestFit="1" customWidth="1" collapsed="1"/>
    <col min="12" max="12" width="38.08984375" style="1" customWidth="1" outlineLevel="1"/>
    <col min="13" max="13" width="15.7265625" style="1" customWidth="1" outlineLevel="1"/>
    <col min="14" max="14" width="14.36328125" style="1" customWidth="1" outlineLevel="1"/>
    <col min="15" max="15" width="23.6328125" style="1" customWidth="1"/>
    <col min="16" max="16" width="23.6328125" style="27" customWidth="1"/>
    <col min="17" max="17" width="9.08984375" style="27"/>
    <col min="18" max="28" width="9.08984375" style="27" customWidth="1"/>
    <col min="29" max="32" width="9.08984375" style="27"/>
    <col min="33" max="33" width="21.08984375" style="27" bestFit="1" customWidth="1"/>
    <col min="34" max="34" width="57.6328125" style="27" bestFit="1" customWidth="1"/>
    <col min="35" max="35" width="56.08984375" style="27" bestFit="1" customWidth="1"/>
    <col min="36" max="36" width="50.90625" style="75" bestFit="1" customWidth="1"/>
    <col min="37" max="16384" width="9.08984375" style="27"/>
  </cols>
  <sheetData>
    <row r="1" spans="1:36" ht="26" x14ac:dyDescent="0.35">
      <c r="A1" s="26"/>
      <c r="B1" s="26"/>
      <c r="C1" s="26"/>
      <c r="D1" s="26" t="s">
        <v>124</v>
      </c>
      <c r="E1" s="26" t="s">
        <v>125</v>
      </c>
      <c r="F1" s="26" t="s">
        <v>131</v>
      </c>
      <c r="G1" s="26" t="s">
        <v>297</v>
      </c>
      <c r="H1" s="26" t="s">
        <v>162</v>
      </c>
      <c r="I1" s="26" t="s">
        <v>132</v>
      </c>
      <c r="J1" s="26" t="s">
        <v>126</v>
      </c>
      <c r="K1" s="26"/>
      <c r="L1" s="26"/>
      <c r="M1" s="26"/>
    </row>
    <row r="2" spans="1:36" ht="26" x14ac:dyDescent="0.35">
      <c r="A2" s="26"/>
      <c r="B2" s="26"/>
      <c r="C2" s="26"/>
      <c r="D2" s="26">
        <f>SUM('PCD DIA '!Y:Y)</f>
        <v>177748</v>
      </c>
      <c r="E2" s="26">
        <f>SUM('PCD DIA '!V:V)</f>
        <v>484</v>
      </c>
      <c r="F2" s="26">
        <f>COUNTIFS('PCD DIA '!$P:$P,"Fixa",'PCD DIA '!$S:$S,"Padrao")</f>
        <v>26</v>
      </c>
      <c r="G2" s="26">
        <f>COUNTIF('PCD DIA '!S:S,"Noturno")</f>
        <v>2</v>
      </c>
      <c r="H2" s="26">
        <f>COUNTIFS('PCD DIA '!$P:$P,"Freteiro",'PCD DIA '!$S:$S,"Padrao")</f>
        <v>6</v>
      </c>
      <c r="I2" s="26">
        <f>COUNTIFS('PCD DIA '!$P:$P,"Fixa",'PCD DIA '!$S:$S,"Recarga")</f>
        <v>1</v>
      </c>
      <c r="J2" s="26">
        <f>COUNTA(Tabela2[Ajudante 2])</f>
        <v>12</v>
      </c>
      <c r="K2" s="26"/>
      <c r="L2" s="26"/>
      <c r="M2" s="26"/>
      <c r="O2" s="26"/>
    </row>
    <row r="3" spans="1:36" ht="26" x14ac:dyDescent="0.35">
      <c r="E3" s="26"/>
      <c r="G3" s="26"/>
      <c r="H3" s="26"/>
      <c r="I3" s="26"/>
      <c r="J3" s="26"/>
      <c r="K3" s="26"/>
      <c r="L3" s="26"/>
      <c r="M3" s="26"/>
      <c r="N3" s="26"/>
      <c r="O3" s="26"/>
    </row>
    <row r="4" spans="1:36" ht="81.75" customHeight="1" x14ac:dyDescent="0.35">
      <c r="E4" s="26"/>
      <c r="I4" s="80" t="s">
        <v>361</v>
      </c>
      <c r="J4" s="80" t="s">
        <v>362</v>
      </c>
      <c r="L4" s="26"/>
    </row>
    <row r="5" spans="1:36" ht="97.5" customHeight="1" x14ac:dyDescent="0.35">
      <c r="I5" s="81" cm="1">
        <f t="array" ref="I5">(Tabela1[1ª VIAGEM]-J5)/Tabela1[1ª VIAGEM]</f>
        <v>0.53846153846153844</v>
      </c>
      <c r="J5" s="82">
        <f>COUNTIF($P:$P,"NOK")</f>
        <v>12</v>
      </c>
    </row>
    <row r="6" spans="1:36" ht="94.15" customHeight="1" x14ac:dyDescent="0.35">
      <c r="A6" s="173" t="s">
        <v>127</v>
      </c>
      <c r="B6" s="173"/>
      <c r="E6" s="30">
        <f>IFERROR(VLOOKUP(C6,$AG:$AI,2,FALSE),)</f>
        <v>0</v>
      </c>
      <c r="F6" s="30">
        <f>IFERROR(VLOOKUP(C6,$AG:$AI,3,FALSE),)</f>
        <v>0</v>
      </c>
      <c r="O6" s="1" t="str">
        <f>IFERROR(VLOOKUP(Tabela2[[#This Row],[Placa]],Tabela4[[PLACA ]:[MOTORISTA ]],2,0),"")</f>
        <v/>
      </c>
      <c r="P6" s="72" t="e">
        <f>IF(Tabela2[[#This Row],[Motorista]]=Tabela2[[#This Row],[ORIGINAL]],"OK","NOK")</f>
        <v>#VALUE!</v>
      </c>
      <c r="AG6" s="174" t="s">
        <v>130</v>
      </c>
      <c r="AH6" s="175"/>
      <c r="AI6" s="175"/>
      <c r="AJ6" s="175"/>
    </row>
    <row r="7" spans="1:36" ht="62" x14ac:dyDescent="0.35">
      <c r="A7" s="28" t="s">
        <v>128</v>
      </c>
      <c r="B7" s="28" t="s">
        <v>129</v>
      </c>
      <c r="C7" s="28" t="s">
        <v>2</v>
      </c>
      <c r="D7" s="28" t="s">
        <v>0</v>
      </c>
      <c r="E7" s="28" t="s">
        <v>3</v>
      </c>
      <c r="F7" s="28" t="s">
        <v>30</v>
      </c>
      <c r="G7" s="28" t="s">
        <v>31</v>
      </c>
      <c r="H7" s="28" t="s">
        <v>4</v>
      </c>
      <c r="I7" s="28" t="s">
        <v>8</v>
      </c>
      <c r="J7" s="28" t="s">
        <v>9</v>
      </c>
      <c r="K7" s="28" t="s">
        <v>7</v>
      </c>
      <c r="L7" s="28" t="s">
        <v>5</v>
      </c>
      <c r="M7" s="136" t="s">
        <v>6</v>
      </c>
      <c r="N7" s="28" t="s">
        <v>1</v>
      </c>
      <c r="O7" s="28" t="s">
        <v>360</v>
      </c>
      <c r="P7" s="28" t="s">
        <v>130</v>
      </c>
      <c r="AG7" s="76" t="s">
        <v>186</v>
      </c>
      <c r="AH7" s="76" t="s">
        <v>184</v>
      </c>
      <c r="AI7" s="76" t="s">
        <v>195</v>
      </c>
      <c r="AJ7" s="77" t="s">
        <v>196</v>
      </c>
    </row>
    <row r="8" spans="1:36" s="83" customFormat="1" ht="52" x14ac:dyDescent="0.35">
      <c r="A8" s="100">
        <f>COUNTIF(MATINAIS!$B$2:$C$19,ESCALA!E34)</f>
        <v>0</v>
      </c>
      <c r="B8" s="72">
        <f>COUNTIF(MATINAIS!$C$2:$C$18,ESCALA!F34)</f>
        <v>0</v>
      </c>
      <c r="C8" s="157" t="s">
        <v>13</v>
      </c>
      <c r="D8" s="157">
        <v>372688</v>
      </c>
      <c r="E8" s="157" t="s">
        <v>119</v>
      </c>
      <c r="F8" s="157" t="s">
        <v>120</v>
      </c>
      <c r="G8" s="157"/>
      <c r="H8" s="157">
        <v>56.5</v>
      </c>
      <c r="I8" s="157" t="s">
        <v>377</v>
      </c>
      <c r="J8" s="158" t="s">
        <v>403</v>
      </c>
      <c r="K8" s="159">
        <v>3648</v>
      </c>
      <c r="L8" s="160">
        <v>0.31180555555555556</v>
      </c>
      <c r="M8" s="161">
        <v>15</v>
      </c>
      <c r="N8" s="157"/>
      <c r="O8" s="162" t="str">
        <f>IFERROR(VLOOKUP(Tabela2[[#This Row],[Placa]],Tabela4[[PLACA ]:[MOTORISTA ]],2,0),"")</f>
        <v>9-FABIO LUIZ FERREIRA</v>
      </c>
      <c r="P8" s="162"/>
      <c r="AG8" s="84" t="s">
        <v>11</v>
      </c>
      <c r="AH8" s="118" t="s">
        <v>70</v>
      </c>
      <c r="AI8" s="118" t="s">
        <v>71</v>
      </c>
      <c r="AJ8" s="85" t="s">
        <v>306</v>
      </c>
    </row>
    <row r="9" spans="1:36" s="83" customFormat="1" ht="64" x14ac:dyDescent="0.35">
      <c r="A9" s="100">
        <f>COUNTIF(MATINAIS!$B$2:$C$19,ESCALA!E37)</f>
        <v>0</v>
      </c>
      <c r="B9" s="72">
        <f>COUNTIF(MATINAIS!$C$2:$C$18,ESCALA!F37)</f>
        <v>0</v>
      </c>
      <c r="C9" s="157" t="s">
        <v>60</v>
      </c>
      <c r="D9" s="157">
        <v>372684</v>
      </c>
      <c r="E9" s="157" t="s">
        <v>118</v>
      </c>
      <c r="F9" s="157" t="s">
        <v>65</v>
      </c>
      <c r="G9" s="157"/>
      <c r="H9" s="157">
        <v>78.81</v>
      </c>
      <c r="I9" s="157" t="s">
        <v>393</v>
      </c>
      <c r="J9" s="158" t="s">
        <v>394</v>
      </c>
      <c r="K9" s="159">
        <v>2945</v>
      </c>
      <c r="L9" s="160">
        <v>0.33124999999999999</v>
      </c>
      <c r="M9" s="161">
        <v>14</v>
      </c>
      <c r="N9" s="157"/>
      <c r="O9" s="162">
        <f>IFERROR(VLOOKUP(Tabela2[[#This Row],[Placa]],Tabela4[[PLACA ]:[MOTORISTA ]],2,0),"")</f>
        <v>0</v>
      </c>
      <c r="P9" s="162" t="str">
        <f>IF(Tabela2[[#This Row],[Motorista]]=Tabela2[[#This Row],[ORIGINAL]],"OK","NOK")</f>
        <v>NOK</v>
      </c>
      <c r="AG9" s="84" t="s">
        <v>72</v>
      </c>
      <c r="AH9" s="95" t="s">
        <v>73</v>
      </c>
      <c r="AI9" s="96" t="s">
        <v>74</v>
      </c>
      <c r="AJ9" s="85" t="s">
        <v>302</v>
      </c>
    </row>
    <row r="10" spans="1:36" s="163" customFormat="1" ht="49.5" customHeight="1" x14ac:dyDescent="0.35">
      <c r="A10" s="100">
        <f>COUNTIF(MATINAIS!$B$2:$C$19,ESCALA!E38)</f>
        <v>1</v>
      </c>
      <c r="B10" s="72">
        <f>COUNTIF(MATINAIS!$C$2:$C$18,ESCALA!F38)</f>
        <v>1</v>
      </c>
      <c r="C10" s="101" t="s">
        <v>11</v>
      </c>
      <c r="D10" s="101">
        <v>372685</v>
      </c>
      <c r="E10" s="117" t="str">
        <f t="shared" ref="E10:E16" si="0">IFERROR(VLOOKUP(C10,$AG:$AI,2,FALSE),)</f>
        <v>6-ISAEL DE CARVALHO OLIVEIRA</v>
      </c>
      <c r="F10" s="117" t="str">
        <f>IFERROR(VLOOKUP(C10,$AG:$AI,3,FALSE),)</f>
        <v>117-FRANCISCO DE OLIVEIRA</v>
      </c>
      <c r="G10" s="117"/>
      <c r="H10" s="101">
        <v>121.26</v>
      </c>
      <c r="I10" s="101" t="s">
        <v>396</v>
      </c>
      <c r="J10" s="102" t="s">
        <v>397</v>
      </c>
      <c r="K10" s="103">
        <v>2792</v>
      </c>
      <c r="L10" s="104">
        <v>0.38541666666666669</v>
      </c>
      <c r="M10" s="154">
        <v>17</v>
      </c>
      <c r="N10" s="101"/>
      <c r="O10" s="26" t="str">
        <f>IFERROR(VLOOKUP(Tabela2[[#This Row],[Placa]],Tabela4[[PLACA ]:[MOTORISTA ]],2,0),"")</f>
        <v>6-ISAEL DE CARVALHO OLIVEIRA</v>
      </c>
      <c r="P10" s="26" t="str">
        <f>IF(Tabela2[[#This Row],[Motorista]]=Tabela2[[#This Row],[ORIGINAL]],"OK","NOK")</f>
        <v>OK</v>
      </c>
      <c r="AG10" s="164" t="s">
        <v>28</v>
      </c>
      <c r="AH10" s="164" t="s">
        <v>75</v>
      </c>
      <c r="AI10" s="165" t="s">
        <v>76</v>
      </c>
      <c r="AJ10" s="166" t="s">
        <v>192</v>
      </c>
    </row>
    <row r="11" spans="1:36" s="86" customFormat="1" ht="49.5" customHeight="1" x14ac:dyDescent="0.35">
      <c r="A11" s="100">
        <f>COUNTIF(MATINAIS!$B$2:$C$19,ESCALA!E30)</f>
        <v>0</v>
      </c>
      <c r="B11" s="72">
        <f>COUNTIF(MATINAIS!$C$2:$C$18,ESCALA!F30)</f>
        <v>0</v>
      </c>
      <c r="C11" s="26" t="s">
        <v>349</v>
      </c>
      <c r="D11" s="26">
        <v>372690</v>
      </c>
      <c r="E11" s="117" t="str">
        <f t="shared" si="0"/>
        <v>134-RAUL FRANCIS FERREIRA</v>
      </c>
      <c r="F11" s="117" t="str">
        <f>IFERROR(VLOOKUP(C11,$AG:$AI,3,FALSE),)</f>
        <v>137-PAULO CESAR CABRAL BASILIO</v>
      </c>
      <c r="G11" s="117"/>
      <c r="H11" s="26">
        <v>114.15</v>
      </c>
      <c r="I11" s="26" t="s">
        <v>408</v>
      </c>
      <c r="J11" s="25" t="s">
        <v>409</v>
      </c>
      <c r="K11" s="26">
        <v>4801</v>
      </c>
      <c r="L11" s="112">
        <v>0.38611111111111113</v>
      </c>
      <c r="M11" s="154">
        <v>18</v>
      </c>
      <c r="N11" s="148"/>
      <c r="O11" s="148" t="str">
        <f>IFERROR(VLOOKUP(Tabela2[[#This Row],[Placa]],Tabela4[[PLACA ]:[MOTORISTA ]],2,0),"")</f>
        <v>134-RAUL FRANCIS FERREIRA</v>
      </c>
      <c r="P11" s="148"/>
      <c r="AG11" s="87" t="s">
        <v>25</v>
      </c>
      <c r="AH11" s="119" t="s">
        <v>68</v>
      </c>
      <c r="AI11" s="119" t="s">
        <v>69</v>
      </c>
      <c r="AJ11" s="88" t="s">
        <v>191</v>
      </c>
    </row>
    <row r="12" spans="1:36" ht="49.5" customHeight="1" x14ac:dyDescent="0.35">
      <c r="A12" s="100">
        <f>COUNTIF(MATINAIS!$B$2:$C$19,ESCALA!E12)</f>
        <v>0</v>
      </c>
      <c r="B12" s="72">
        <f>COUNTIF(MATINAIS!$C$2:$C$18,ESCALA!F12)</f>
        <v>0</v>
      </c>
      <c r="C12" s="91" t="s">
        <v>358</v>
      </c>
      <c r="D12" s="91">
        <v>372683</v>
      </c>
      <c r="E12" s="117" t="str">
        <f t="shared" si="0"/>
        <v>Rodrigo De Domenico As</v>
      </c>
      <c r="F12" s="117">
        <f>IFERROR(VLOOKUP(C12,$AG:$AI,3,FALSE),)</f>
        <v>0</v>
      </c>
      <c r="G12" s="117"/>
      <c r="H12" s="91">
        <v>46</v>
      </c>
      <c r="I12" s="91" t="s">
        <v>390</v>
      </c>
      <c r="J12" s="145" t="s">
        <v>391</v>
      </c>
      <c r="K12" s="146">
        <v>7780</v>
      </c>
      <c r="L12" s="147">
        <v>0.30555555555555558</v>
      </c>
      <c r="M12" s="155">
        <v>2</v>
      </c>
      <c r="N12" s="156"/>
      <c r="O12" s="156" t="str">
        <f>IFERROR(VLOOKUP(Tabela2[[#This Row],[Placa]],Tabela4[[PLACA ]:[MOTORISTA ]],2,0),"")</f>
        <v>Rodrigo De Domenico As</v>
      </c>
      <c r="P12" s="156" t="str">
        <f>IF(Tabela2[[#This Row],[Motorista]]=Tabela2[[#This Row],[ORIGINAL]],"OK","NOK")</f>
        <v>OK</v>
      </c>
      <c r="AG12" s="106" t="s">
        <v>22</v>
      </c>
      <c r="AH12" s="110" t="s">
        <v>58</v>
      </c>
      <c r="AI12" s="109" t="s">
        <v>59</v>
      </c>
      <c r="AJ12" s="107" t="s">
        <v>190</v>
      </c>
    </row>
    <row r="13" spans="1:36" ht="49.5" customHeight="1" x14ac:dyDescent="0.35">
      <c r="A13" s="100">
        <f>COUNTIF(MATINAIS!$B$2:$C$19,ESCALA!E23)</f>
        <v>1</v>
      </c>
      <c r="B13" s="72">
        <f>COUNTIF(MATINAIS!$C$2:$C$18,ESCALA!F23)</f>
        <v>1</v>
      </c>
      <c r="C13" s="101" t="s">
        <v>17</v>
      </c>
      <c r="D13" s="101">
        <v>372691</v>
      </c>
      <c r="E13" s="117" t="str">
        <f t="shared" si="0"/>
        <v>47-CLAYTON CARLOS GONCALVES DA SILVA</v>
      </c>
      <c r="F13" s="117" t="s">
        <v>110</v>
      </c>
      <c r="G13" s="172" t="s">
        <v>38</v>
      </c>
      <c r="H13" s="101">
        <v>45.83</v>
      </c>
      <c r="I13" s="101" t="s">
        <v>370</v>
      </c>
      <c r="J13" s="102" t="s">
        <v>411</v>
      </c>
      <c r="K13" s="103">
        <v>5684</v>
      </c>
      <c r="L13" s="104">
        <v>0.37222222222222223</v>
      </c>
      <c r="M13" s="154">
        <v>21</v>
      </c>
      <c r="N13" s="101"/>
      <c r="O13" s="26" t="str">
        <f>IFERROR(VLOOKUP(Tabela2[[#This Row],[Placa]],Tabela4[[PLACA ]:[MOTORISTA ]],2,0),"")</f>
        <v>47-CLAYTON CARLOS GONCALVES DA SILVA</v>
      </c>
      <c r="P13" s="26" t="str">
        <f>IF(Tabela2[[#This Row],[Motorista]]=Tabela2[[#This Row],[ORIGINAL]],"OK","NOK")</f>
        <v>OK</v>
      </c>
      <c r="AG13" s="106" t="s">
        <v>12</v>
      </c>
      <c r="AH13" s="111" t="s">
        <v>64</v>
      </c>
      <c r="AI13" s="109" t="s">
        <v>52</v>
      </c>
      <c r="AJ13" s="107" t="s">
        <v>198</v>
      </c>
    </row>
    <row r="14" spans="1:36" s="163" customFormat="1" ht="49.5" customHeight="1" x14ac:dyDescent="0.35">
      <c r="A14" s="100">
        <f>COUNTIF(MATINAIS!$B$2:$C$19,ESCALA!E22)</f>
        <v>0</v>
      </c>
      <c r="B14" s="72">
        <f>COUNTIF(MATINAIS!$C$2:$C$18,ESCALA!F22)</f>
        <v>0</v>
      </c>
      <c r="C14" s="26" t="s">
        <v>32</v>
      </c>
      <c r="D14" s="26">
        <v>372686</v>
      </c>
      <c r="E14" s="117" t="str">
        <f t="shared" si="0"/>
        <v>2-ANTONIO DA SILVA FERREIRA</v>
      </c>
      <c r="F14" s="117" t="str">
        <f>IFERROR(VLOOKUP(C14,$AG:$AI,3,FALSE),)</f>
        <v>142-RODOLFO ADILSON LOPES</v>
      </c>
      <c r="G14" s="117"/>
      <c r="H14" s="26">
        <v>40.49</v>
      </c>
      <c r="I14" s="26" t="s">
        <v>384</v>
      </c>
      <c r="J14" s="25" t="s">
        <v>399</v>
      </c>
      <c r="K14" s="114">
        <v>5733</v>
      </c>
      <c r="L14" s="112">
        <v>0.36805555555555558</v>
      </c>
      <c r="M14" s="154">
        <v>16</v>
      </c>
      <c r="N14" s="26"/>
      <c r="O14" s="26"/>
      <c r="P14" s="26"/>
      <c r="AG14" s="167" t="s">
        <v>21</v>
      </c>
      <c r="AH14" s="164" t="s">
        <v>77</v>
      </c>
      <c r="AI14" s="165" t="s">
        <v>78</v>
      </c>
      <c r="AJ14" s="166" t="s">
        <v>194</v>
      </c>
    </row>
    <row r="15" spans="1:36" ht="49.5" customHeight="1" x14ac:dyDescent="0.35">
      <c r="A15" s="100">
        <f>COUNTIF(MATINAIS!$B$2:$C$19,ESCALA!E21)</f>
        <v>0</v>
      </c>
      <c r="B15" s="72">
        <f>COUNTIF(MATINAIS!$C$2:$C$18,ESCALA!F21)</f>
        <v>1</v>
      </c>
      <c r="C15" s="101" t="s">
        <v>304</v>
      </c>
      <c r="D15" s="101">
        <v>372694</v>
      </c>
      <c r="E15" s="117" t="str">
        <f t="shared" si="0"/>
        <v>11- JOSE MAURO DE ANDRADE</v>
      </c>
      <c r="F15" s="117" t="str">
        <f>IFERROR(VLOOKUP(C15,$AG:$AI,3,FALSE),)</f>
        <v xml:space="preserve">03-JOÃO BATISTA DA SILVA </v>
      </c>
      <c r="G15" s="117"/>
      <c r="H15" s="101">
        <v>98.1</v>
      </c>
      <c r="I15" s="101" t="s">
        <v>416</v>
      </c>
      <c r="J15" s="102" t="s">
        <v>417</v>
      </c>
      <c r="K15" s="103">
        <v>5888</v>
      </c>
      <c r="L15" s="104">
        <v>0.33611111111111114</v>
      </c>
      <c r="M15" s="154">
        <v>10</v>
      </c>
      <c r="N15" s="101"/>
      <c r="O15" s="26" t="str">
        <f>IFERROR(VLOOKUP(Tabela2[[#This Row],[Placa]],Tabela4[[PLACA ]:[MOTORISTA ]],2,0),"")</f>
        <v>11- JOSE MAURO DE ANDRADE</v>
      </c>
      <c r="P15" s="26"/>
      <c r="AG15" s="106" t="s">
        <v>60</v>
      </c>
      <c r="AH15" s="110"/>
      <c r="AI15" s="111" t="s">
        <v>86</v>
      </c>
      <c r="AJ15" s="107" t="s">
        <v>301</v>
      </c>
    </row>
    <row r="16" spans="1:36" ht="49.5" customHeight="1" x14ac:dyDescent="0.35">
      <c r="A16" s="100">
        <f>COUNTIF(MATINAIS!$B$2:$C$19,ESCALA!E26)</f>
        <v>0</v>
      </c>
      <c r="B16" s="72">
        <f>COUNTIF(MATINAIS!$C$2:$C$18,ESCALA!F26)</f>
        <v>0</v>
      </c>
      <c r="C16" s="101" t="s">
        <v>18</v>
      </c>
      <c r="D16" s="101">
        <v>372695</v>
      </c>
      <c r="E16" s="117" t="str">
        <f t="shared" si="0"/>
        <v>182-RENATO ORTEGA GONCALVES</v>
      </c>
      <c r="F16" s="117" t="str">
        <f>IFERROR(VLOOKUP(C16,$AG:$AI,3,FALSE),)</f>
        <v>99-IVANILSON FERNANDES SOUZA</v>
      </c>
      <c r="G16" s="117"/>
      <c r="H16" s="101">
        <v>109.09</v>
      </c>
      <c r="I16" s="101" t="s">
        <v>419</v>
      </c>
      <c r="J16" s="102" t="s">
        <v>420</v>
      </c>
      <c r="K16" s="103">
        <v>5287</v>
      </c>
      <c r="L16" s="104">
        <v>0.38819444444444445</v>
      </c>
      <c r="M16" s="154">
        <v>18</v>
      </c>
      <c r="N16" s="101"/>
      <c r="O16" s="26" t="str">
        <f>IFERROR(VLOOKUP(Tabela2[[#This Row],[Placa]],Tabela4[[PLACA ]:[MOTORISTA ]],2,0),"")</f>
        <v>182-RENATO ORTEGA GONCALVES</v>
      </c>
      <c r="P16" s="26" t="str">
        <f>IF(Tabela2[[#This Row],[Motorista]]=Tabela2[[#This Row],[ORIGINAL]],"OK","NOK")</f>
        <v>OK</v>
      </c>
      <c r="AG16" s="106" t="s">
        <v>84</v>
      </c>
      <c r="AH16" s="111" t="s">
        <v>85</v>
      </c>
      <c r="AI16" s="111" t="s">
        <v>110</v>
      </c>
      <c r="AJ16" s="107" t="s">
        <v>307</v>
      </c>
    </row>
    <row r="17" spans="1:36" ht="49.5" customHeight="1" x14ac:dyDescent="0.35">
      <c r="A17" s="100">
        <f>COUNTIF(MATINAIS!$B$2:$C$19,ESCALA!E17)</f>
        <v>0</v>
      </c>
      <c r="B17" s="72">
        <f>COUNTIF(MATINAIS!$C$2:$C$18,ESCALA!F17)</f>
        <v>0</v>
      </c>
      <c r="C17" s="91" t="s">
        <v>375</v>
      </c>
      <c r="D17" s="91">
        <v>372682</v>
      </c>
      <c r="E17" s="117" t="s">
        <v>45</v>
      </c>
      <c r="F17" s="117" t="s">
        <v>46</v>
      </c>
      <c r="G17" s="117" t="s">
        <v>59</v>
      </c>
      <c r="H17" s="91">
        <v>0.82</v>
      </c>
      <c r="I17" s="91" t="s">
        <v>385</v>
      </c>
      <c r="J17" s="145" t="s">
        <v>389</v>
      </c>
      <c r="K17" s="146">
        <v>6351</v>
      </c>
      <c r="L17" s="147">
        <v>0.10347222222222222</v>
      </c>
      <c r="M17" s="155">
        <v>1</v>
      </c>
      <c r="N17" s="156"/>
      <c r="O17" s="156" t="str">
        <f>IFERROR(VLOOKUP(Tabela2[[#This Row],[Placa]],Tabela4[[PLACA ]:[MOTORISTA ]],2,0),"")</f>
        <v/>
      </c>
      <c r="P17" s="156" t="str">
        <f>IF(Tabela2[[#This Row],[Motorista]]=Tabela2[[#This Row],[ORIGINAL]],"OK","NOK")</f>
        <v>NOK</v>
      </c>
      <c r="AG17" s="106" t="s">
        <v>14</v>
      </c>
      <c r="AH17" s="111" t="s">
        <v>43</v>
      </c>
      <c r="AI17" s="110" t="s">
        <v>44</v>
      </c>
      <c r="AJ17" s="107" t="s">
        <v>308</v>
      </c>
    </row>
    <row r="18" spans="1:36" ht="49.5" customHeight="1" x14ac:dyDescent="0.35">
      <c r="A18" s="100">
        <f>COUNTIF(MATINAIS!$B$2:$C$19,ESCALA!E19)</f>
        <v>1</v>
      </c>
      <c r="B18" s="72">
        <f>COUNTIF(MATINAIS!$C$2:$C$18,ESCALA!F19)</f>
        <v>1</v>
      </c>
      <c r="C18" s="101" t="s">
        <v>26</v>
      </c>
      <c r="D18" s="101">
        <v>372689</v>
      </c>
      <c r="E18" s="117" t="s">
        <v>112</v>
      </c>
      <c r="F18" s="117" t="s">
        <v>48</v>
      </c>
      <c r="G18" s="117" t="s">
        <v>87</v>
      </c>
      <c r="H18" s="101">
        <v>39.130000000000003</v>
      </c>
      <c r="I18" s="101" t="s">
        <v>405</v>
      </c>
      <c r="J18" s="102" t="s">
        <v>406</v>
      </c>
      <c r="K18" s="103">
        <v>5958</v>
      </c>
      <c r="L18" s="104">
        <v>0.38819444444444445</v>
      </c>
      <c r="M18" s="154">
        <v>14</v>
      </c>
      <c r="N18" s="101"/>
      <c r="O18" s="26" t="str">
        <f>IFERROR(VLOOKUP(Tabela2[[#This Row],[Placa]],Tabela4[[PLACA ]:[MOTORISTA ]],2,0),"")</f>
        <v xml:space="preserve">19-ROBSON DE SIQUEIRA MANCILHA   </v>
      </c>
      <c r="P18" s="26" t="str">
        <f>IF(Tabela2[[#This Row],[Motorista]]=Tabela2[[#This Row],[ORIGINAL]],"OK","NOK")</f>
        <v>NOK</v>
      </c>
      <c r="AG18" s="106" t="s">
        <v>90</v>
      </c>
      <c r="AH18" s="111" t="s">
        <v>91</v>
      </c>
      <c r="AI18" s="111" t="s">
        <v>92</v>
      </c>
      <c r="AJ18" s="107" t="s">
        <v>189</v>
      </c>
    </row>
    <row r="19" spans="1:36" ht="49.5" customHeight="1" x14ac:dyDescent="0.35">
      <c r="A19" s="100">
        <f>COUNTIF(MATINAIS!$B$2:$C$19,ESCALA!E35)</f>
        <v>1</v>
      </c>
      <c r="B19" s="72">
        <f>COUNTIF(MATINAIS!$C$2:$C$18,ESCALA!F35)</f>
        <v>1</v>
      </c>
      <c r="C19" s="101" t="s">
        <v>15</v>
      </c>
      <c r="D19" s="101">
        <v>372693</v>
      </c>
      <c r="E19" s="117" t="str">
        <f>IFERROR(VLOOKUP(C19,$AG:$AI,2,FALSE),)</f>
        <v>103-VALDIR FRANCISCO SANTOS</v>
      </c>
      <c r="F19" s="117" t="str">
        <f>IFERROR(VLOOKUP(C19,$AG:$AI,3,FALSE),)</f>
        <v>66-ANTONIO FRANCISCO PEREIRA DA SILVA</v>
      </c>
      <c r="G19" s="117"/>
      <c r="H19" s="101">
        <v>142.62</v>
      </c>
      <c r="I19" s="101" t="s">
        <v>413</v>
      </c>
      <c r="J19" s="102" t="s">
        <v>414</v>
      </c>
      <c r="K19" s="103">
        <v>3243</v>
      </c>
      <c r="L19" s="104">
        <v>0.38680555555555557</v>
      </c>
      <c r="M19" s="154">
        <v>17</v>
      </c>
      <c r="N19" s="101"/>
      <c r="O19" s="26" t="str">
        <f>IFERROR(VLOOKUP(Tabela2[[#This Row],[Placa]],Tabela4[[PLACA ]:[MOTORISTA ]],2,0),"")</f>
        <v>103-VALDIR FRANCISCO SANTOS</v>
      </c>
      <c r="P19" s="26" t="str">
        <f>IF(Tabela2[[#This Row],[Motorista]]=Tabela2[[#This Row],[ORIGINAL]],"OK","NOK")</f>
        <v>OK</v>
      </c>
      <c r="AG19" s="106" t="s">
        <v>15</v>
      </c>
      <c r="AH19" s="110" t="s">
        <v>102</v>
      </c>
      <c r="AI19" s="111" t="s">
        <v>103</v>
      </c>
      <c r="AJ19" s="107" t="s">
        <v>187</v>
      </c>
    </row>
    <row r="20" spans="1:36" ht="48" x14ac:dyDescent="0.35">
      <c r="A20" s="100">
        <f>COUNTIF(MATINAIS!$B$2:$C$19,ESCALA!E32)</f>
        <v>1</v>
      </c>
      <c r="B20" s="72">
        <f>COUNTIF(MATINAIS!$C$2:$C$18,ESCALA!F32)</f>
        <v>0</v>
      </c>
      <c r="C20" s="26" t="s">
        <v>375</v>
      </c>
      <c r="D20" s="26">
        <v>372696</v>
      </c>
      <c r="E20" s="117" t="s">
        <v>45</v>
      </c>
      <c r="F20" s="117" t="s">
        <v>46</v>
      </c>
      <c r="G20" s="117"/>
      <c r="H20" s="26">
        <v>56.83</v>
      </c>
      <c r="I20" s="26" t="s">
        <v>422</v>
      </c>
      <c r="J20" s="25" t="s">
        <v>423</v>
      </c>
      <c r="K20" s="114">
        <v>4081</v>
      </c>
      <c r="L20" s="112">
        <v>0.38055555555555554</v>
      </c>
      <c r="M20" s="154">
        <v>25</v>
      </c>
      <c r="N20" s="26"/>
      <c r="O20" s="26" t="str">
        <f>IFERROR(VLOOKUP(Tabela2[[#This Row],[Placa]],Tabela4[[PLACA ]:[MOTORISTA ]],2,0),"")</f>
        <v/>
      </c>
      <c r="P20" s="26" t="str">
        <f>IF(Tabela2[[#This Row],[Motorista]]=Tabela2[[#This Row],[ORIGINAL]],"OK","NOK")</f>
        <v>NOK</v>
      </c>
      <c r="AG20" s="106" t="s">
        <v>32</v>
      </c>
      <c r="AH20" s="111" t="s">
        <v>33</v>
      </c>
      <c r="AI20" s="110" t="s">
        <v>34</v>
      </c>
      <c r="AJ20" s="107" t="s">
        <v>309</v>
      </c>
    </row>
    <row r="21" spans="1:36" ht="78" x14ac:dyDescent="0.35">
      <c r="A21" s="100">
        <f>COUNTIF(MATINAIS!$B$2:$C$19,ESCALA!E13)</f>
        <v>0</v>
      </c>
      <c r="B21" s="72">
        <f>COUNTIF(MATINAIS!$C$2:$C$18,ESCALA!F13)</f>
        <v>0</v>
      </c>
      <c r="C21" s="26" t="s">
        <v>29</v>
      </c>
      <c r="D21" s="26">
        <v>372698</v>
      </c>
      <c r="E21" s="117" t="str">
        <f>IFERROR(VLOOKUP(C21,$AG:$AI,2,FALSE),)</f>
        <v>15-LUIS ALBERTO C DE FREITAS</v>
      </c>
      <c r="F21" s="117" t="s">
        <v>69</v>
      </c>
      <c r="G21" s="117" t="s">
        <v>109</v>
      </c>
      <c r="H21" s="26">
        <v>43.51</v>
      </c>
      <c r="I21" s="26" t="s">
        <v>425</v>
      </c>
      <c r="J21" s="25" t="s">
        <v>426</v>
      </c>
      <c r="K21" s="114">
        <v>7324</v>
      </c>
      <c r="L21" s="112">
        <v>0.3840277777777778</v>
      </c>
      <c r="M21" s="154">
        <v>11</v>
      </c>
      <c r="N21" s="26"/>
      <c r="O21" s="26" t="str">
        <f>IFERROR(VLOOKUP(Tabela2[[#This Row],[Placa]],Tabela4[[PLACA ]:[MOTORISTA ]],2,0),"")</f>
        <v>15-LUIS ALBERTO C DE FREITAS</v>
      </c>
      <c r="P21" s="26"/>
      <c r="AG21" s="106" t="s">
        <v>18</v>
      </c>
      <c r="AH21" s="111" t="s">
        <v>62</v>
      </c>
      <c r="AI21" s="109" t="s">
        <v>63</v>
      </c>
      <c r="AJ21" s="107" t="s">
        <v>197</v>
      </c>
    </row>
    <row r="22" spans="1:36" ht="78" x14ac:dyDescent="0.35">
      <c r="A22" s="100">
        <f>COUNTIF(MATINAIS!$B$2:$C$19,ESCALA!E18)</f>
        <v>0</v>
      </c>
      <c r="B22" s="72">
        <f>COUNTIF(MATINAIS!$C$2:$C$18,ESCALA!F18)</f>
        <v>0</v>
      </c>
      <c r="C22" s="101" t="s">
        <v>22</v>
      </c>
      <c r="D22" s="101">
        <v>372699</v>
      </c>
      <c r="E22" s="117" t="str">
        <f>IFERROR(VLOOKUP(C22,$AG:$AI,2,FALSE),)</f>
        <v>13-LAELSON GERMANO DA ROCHA</v>
      </c>
      <c r="F22" s="117" t="s">
        <v>61</v>
      </c>
      <c r="G22" s="117" t="s">
        <v>137</v>
      </c>
      <c r="H22" s="101">
        <v>50.83</v>
      </c>
      <c r="I22" s="101" t="s">
        <v>405</v>
      </c>
      <c r="J22" s="102" t="s">
        <v>428</v>
      </c>
      <c r="K22" s="103">
        <v>6070</v>
      </c>
      <c r="L22" s="104">
        <v>0.37777777777777777</v>
      </c>
      <c r="M22" s="154">
        <v>14</v>
      </c>
      <c r="N22" s="101"/>
      <c r="O22" s="26" t="str">
        <f>IFERROR(VLOOKUP(Tabela2[[#This Row],[Placa]],Tabela4[[PLACA ]:[MOTORISTA ]],2,0),"")</f>
        <v>13-LAELSON GERMANO DA ROCHA</v>
      </c>
      <c r="P22" s="26" t="str">
        <f>IF(Tabela2[[#This Row],[Motorista]]=Tabela2[[#This Row],[ORIGINAL]],"OK","NOK")</f>
        <v>OK</v>
      </c>
      <c r="AG22" s="106" t="s">
        <v>23</v>
      </c>
      <c r="AH22" s="111" t="s">
        <v>80</v>
      </c>
      <c r="AI22" s="111" t="s">
        <v>81</v>
      </c>
      <c r="AJ22" s="107" t="s">
        <v>303</v>
      </c>
    </row>
    <row r="23" spans="1:36" ht="49.5" customHeight="1" x14ac:dyDescent="0.35">
      <c r="A23" s="100">
        <f>COUNTIF(MATINAIS!$B$2:$C$19,ESCALA!E11)</f>
        <v>1</v>
      </c>
      <c r="B23" s="72">
        <f>COUNTIF(MATINAIS!$C$2:$C$18,ESCALA!F11)</f>
        <v>1</v>
      </c>
      <c r="C23" s="101" t="s">
        <v>382</v>
      </c>
      <c r="D23" s="101">
        <v>372701</v>
      </c>
      <c r="E23" s="117" t="s">
        <v>91</v>
      </c>
      <c r="F23" s="117" t="s">
        <v>92</v>
      </c>
      <c r="G23" s="117" t="s">
        <v>107</v>
      </c>
      <c r="H23" s="101">
        <v>24.55</v>
      </c>
      <c r="I23" s="101" t="s">
        <v>434</v>
      </c>
      <c r="J23" s="102" t="s">
        <v>435</v>
      </c>
      <c r="K23" s="103">
        <v>8006</v>
      </c>
      <c r="L23" s="104">
        <v>0.38750000000000001</v>
      </c>
      <c r="M23" s="154">
        <v>13</v>
      </c>
      <c r="N23" s="101"/>
      <c r="O23" s="26" t="str">
        <f>IFERROR(VLOOKUP(Tabela2[[#This Row],[Placa]],Tabela4[[PLACA ]:[MOTORISTA ]],2,0),"")</f>
        <v/>
      </c>
      <c r="P23" s="26" t="str">
        <f>IF(Tabela2[[#This Row],[Motorista]]=Tabela2[[#This Row],[ORIGINAL]],"OK","NOK")</f>
        <v>NOK</v>
      </c>
      <c r="AG23" s="110" t="s">
        <v>19</v>
      </c>
      <c r="AH23" s="111" t="s">
        <v>41</v>
      </c>
      <c r="AI23" s="111" t="s">
        <v>42</v>
      </c>
      <c r="AJ23" s="107" t="s">
        <v>198</v>
      </c>
    </row>
    <row r="24" spans="1:36" s="83" customFormat="1" ht="32" x14ac:dyDescent="0.35">
      <c r="A24" s="100">
        <f>COUNTIF(MATINAIS!$B$2:$C$19,ESCALA!E15)</f>
        <v>1</v>
      </c>
      <c r="B24" s="72">
        <f>COUNTIF(MATINAIS!$C$2:$C$18,ESCALA!F15)</f>
        <v>0</v>
      </c>
      <c r="C24" s="26" t="s">
        <v>23</v>
      </c>
      <c r="D24" s="26">
        <v>372702</v>
      </c>
      <c r="E24" s="117" t="str">
        <f>IFERROR(VLOOKUP(C24,$AG:$AI,2,FALSE),)</f>
        <v xml:space="preserve">21-SAMUEL APARECIDO DOS S LEITE  </v>
      </c>
      <c r="F24" s="117" t="str">
        <f>IFERROR(VLOOKUP(C24,$AG:$AI,3,FALSE),)</f>
        <v>22-WENDEL CORREA BAHIA</v>
      </c>
      <c r="G24" s="117" t="s">
        <v>78</v>
      </c>
      <c r="H24" s="26">
        <v>99.71</v>
      </c>
      <c r="I24" s="26" t="s">
        <v>437</v>
      </c>
      <c r="J24" s="25" t="s">
        <v>438</v>
      </c>
      <c r="K24" s="114">
        <v>6493</v>
      </c>
      <c r="L24" s="112">
        <v>0.3840277777777778</v>
      </c>
      <c r="M24" s="154">
        <v>10</v>
      </c>
      <c r="N24" s="26"/>
      <c r="O24" s="26"/>
      <c r="P24" s="26"/>
      <c r="AG24" s="84" t="s">
        <v>24</v>
      </c>
      <c r="AH24" s="96" t="s">
        <v>104</v>
      </c>
      <c r="AI24" s="95" t="s">
        <v>79</v>
      </c>
      <c r="AJ24" s="85" t="s">
        <v>303</v>
      </c>
    </row>
    <row r="25" spans="1:36" ht="32" x14ac:dyDescent="0.35">
      <c r="A25" s="100">
        <f>COUNTIF(MATINAIS!$B$2:$C$19,ESCALA!E36)</f>
        <v>0</v>
      </c>
      <c r="B25" s="72">
        <f>COUNTIF(MATINAIS!$C$2:$C$18,ESCALA!F36)</f>
        <v>0</v>
      </c>
      <c r="C25" s="101" t="s">
        <v>60</v>
      </c>
      <c r="D25" s="101">
        <v>372703</v>
      </c>
      <c r="E25" s="117" t="s">
        <v>77</v>
      </c>
      <c r="F25" s="117" t="s">
        <v>105</v>
      </c>
      <c r="G25" s="117"/>
      <c r="H25" s="101">
        <v>18.23</v>
      </c>
      <c r="I25" s="101" t="s">
        <v>434</v>
      </c>
      <c r="J25" s="102" t="s">
        <v>440</v>
      </c>
      <c r="K25" s="103">
        <v>3214</v>
      </c>
      <c r="L25" s="104">
        <v>0.28749999999999998</v>
      </c>
      <c r="M25" s="154">
        <v>13</v>
      </c>
      <c r="N25" s="91"/>
      <c r="O25" s="92">
        <f>IFERROR(VLOOKUP(Tabela2[[#This Row],[Placa]],Tabela4[[PLACA ]:[MOTORISTA ]],2,0),"")</f>
        <v>0</v>
      </c>
      <c r="P25" s="92" t="str">
        <f>IF(Tabela2[[#This Row],[Motorista]]=Tabela2[[#This Row],[ORIGINAL]],"OK","NOK")</f>
        <v>NOK</v>
      </c>
      <c r="AG25" s="106" t="s">
        <v>27</v>
      </c>
      <c r="AH25" s="110" t="s">
        <v>82</v>
      </c>
      <c r="AI25" s="111" t="s">
        <v>83</v>
      </c>
      <c r="AJ25" s="107" t="s">
        <v>310</v>
      </c>
    </row>
    <row r="26" spans="1:36" ht="49.5" customHeight="1" x14ac:dyDescent="0.35">
      <c r="A26" s="100">
        <f>COUNTIF(MATINAIS!$B$2:$C$19,ESCALA!E10)</f>
        <v>1</v>
      </c>
      <c r="B26" s="72">
        <f>COUNTIF(MATINAIS!$C$2:$C$18,ESCALA!F10)</f>
        <v>1</v>
      </c>
      <c r="C26" s="101" t="s">
        <v>20</v>
      </c>
      <c r="D26" s="101">
        <v>372704</v>
      </c>
      <c r="E26" s="117" t="str">
        <f>IFERROR(VLOOKUP(C26,$AG:$AI,2,FALSE),)</f>
        <v>150-GABRIEL CURSINO FERREIRA</v>
      </c>
      <c r="F26" s="117" t="str">
        <f>IFERROR(VLOOKUP(C26,$AG:$AI,3,FALSE),)</f>
        <v>57-DENILSON FERREIRA RODRIGUES</v>
      </c>
      <c r="G26" s="117" t="s">
        <v>113</v>
      </c>
      <c r="H26" s="101">
        <v>93.83</v>
      </c>
      <c r="I26" s="101" t="s">
        <v>442</v>
      </c>
      <c r="J26" s="102" t="s">
        <v>443</v>
      </c>
      <c r="K26" s="103">
        <v>8061</v>
      </c>
      <c r="L26" s="104">
        <v>0.37847222222222221</v>
      </c>
      <c r="M26" s="154">
        <v>9</v>
      </c>
      <c r="N26" s="101"/>
      <c r="O26" s="26" t="str">
        <f>IFERROR(VLOOKUP(Tabela2[[#This Row],[Placa]],Tabela4[[PLACA ]:[MOTORISTA ]],2,0),"")</f>
        <v>150-GABRIEL CURSINO FERREIRA</v>
      </c>
      <c r="P26" s="26" t="str">
        <f>IF(Tabela2[[#This Row],[Motorista]]=Tabela2[[#This Row],[ORIGINAL]],"OK","NOK")</f>
        <v>OK</v>
      </c>
      <c r="AG26" s="106" t="s">
        <v>26</v>
      </c>
      <c r="AH26" s="110" t="s">
        <v>47</v>
      </c>
      <c r="AI26" s="111" t="s">
        <v>48</v>
      </c>
      <c r="AJ26" s="107" t="s">
        <v>199</v>
      </c>
    </row>
    <row r="27" spans="1:36" ht="48" x14ac:dyDescent="0.35">
      <c r="A27" s="100">
        <f>COUNTIF(MATINAIS!$B$2:$C$19,ESCALA!E8)</f>
        <v>0</v>
      </c>
      <c r="B27" s="72">
        <f>COUNTIF(MATINAIS!$C$2:$C$18,ESCALA!F8)</f>
        <v>0</v>
      </c>
      <c r="C27" s="26" t="s">
        <v>373</v>
      </c>
      <c r="D27" s="26">
        <v>372707</v>
      </c>
      <c r="E27" s="26" t="s">
        <v>39</v>
      </c>
      <c r="F27" s="101" t="s">
        <v>40</v>
      </c>
      <c r="G27" s="117" t="s">
        <v>108</v>
      </c>
      <c r="H27" s="26">
        <v>30.82</v>
      </c>
      <c r="I27" s="26" t="s">
        <v>380</v>
      </c>
      <c r="J27" s="25" t="s">
        <v>449</v>
      </c>
      <c r="K27" s="26">
        <v>9008</v>
      </c>
      <c r="L27" s="112">
        <v>0.38472222222222224</v>
      </c>
      <c r="M27" s="154">
        <v>11</v>
      </c>
      <c r="N27" s="26"/>
      <c r="O27" s="26" t="str">
        <f>IFERROR(VLOOKUP(Tabela2[[#This Row],[Placa]],Tabela4[[PLACA ]:[MOTORISTA ]],2,0),"")</f>
        <v/>
      </c>
      <c r="P27" s="26"/>
      <c r="AG27" s="110" t="s">
        <v>20</v>
      </c>
      <c r="AH27" s="109" t="s">
        <v>114</v>
      </c>
      <c r="AI27" s="109" t="s">
        <v>67</v>
      </c>
      <c r="AJ27" s="107" t="s">
        <v>188</v>
      </c>
    </row>
    <row r="28" spans="1:36" s="86" customFormat="1" ht="48" x14ac:dyDescent="0.35">
      <c r="A28" s="100">
        <f>COUNTIF(MATINAIS!$B$2:$C$19,ESCALA!E16)</f>
        <v>0</v>
      </c>
      <c r="B28" s="72">
        <f>COUNTIF(MATINAIS!$C$2:$C$18,ESCALA!F16)</f>
        <v>0</v>
      </c>
      <c r="C28" s="101" t="s">
        <v>72</v>
      </c>
      <c r="D28" s="101">
        <v>372708</v>
      </c>
      <c r="E28" s="117" t="str">
        <f>IFERROR(VLOOKUP(C28,$AG:$AI,2,FALSE),)</f>
        <v>194- PAULO EDUARDO PRICOLI</v>
      </c>
      <c r="F28" s="117" t="str">
        <f>IFERROR(VLOOKUP(C28,$AG:$AI,3,FALSE),)</f>
        <v>138-PAULO CESAR DE OLIVEIRA</v>
      </c>
      <c r="G28" s="117" t="s">
        <v>55</v>
      </c>
      <c r="H28" s="101">
        <v>45.63</v>
      </c>
      <c r="I28" s="101" t="s">
        <v>451</v>
      </c>
      <c r="J28" s="102" t="s">
        <v>452</v>
      </c>
      <c r="K28" s="103">
        <v>6493</v>
      </c>
      <c r="L28" s="104">
        <v>0.38472222222222224</v>
      </c>
      <c r="M28" s="154">
        <v>14</v>
      </c>
      <c r="N28" s="93"/>
      <c r="O28" s="94"/>
      <c r="P28" s="94"/>
      <c r="AG28" s="87" t="s">
        <v>13</v>
      </c>
      <c r="AH28" s="152" t="s">
        <v>56</v>
      </c>
      <c r="AI28" s="89" t="s">
        <v>57</v>
      </c>
      <c r="AJ28" s="88" t="s">
        <v>311</v>
      </c>
    </row>
    <row r="29" spans="1:36" s="83" customFormat="1" ht="78" x14ac:dyDescent="0.35">
      <c r="A29" s="100">
        <f>COUNTIF(MATINAIS!$B$2:$C$19,ESCALA!E24)</f>
        <v>1</v>
      </c>
      <c r="B29" s="72">
        <f>COUNTIF(MATINAIS!$C$2:$C$18,ESCALA!F24)</f>
        <v>1</v>
      </c>
      <c r="C29" s="101" t="s">
        <v>12</v>
      </c>
      <c r="D29" s="101">
        <v>372709</v>
      </c>
      <c r="E29" s="117" t="str">
        <f>IFERROR(VLOOKUP(C29,$AG:$AI,2,FALSE),)</f>
        <v>153-MAURO ROQUE DOS SANTOS</v>
      </c>
      <c r="F29" s="117" t="str">
        <f>IFERROR(VLOOKUP(C29,$AG:$AI,3,FALSE),)</f>
        <v>94-MILTON DE JESUS SANTANA</v>
      </c>
      <c r="G29" s="117"/>
      <c r="H29" s="101">
        <v>51.48</v>
      </c>
      <c r="I29" s="101" t="s">
        <v>386</v>
      </c>
      <c r="J29" s="102" t="s">
        <v>454</v>
      </c>
      <c r="K29" s="103">
        <v>5526</v>
      </c>
      <c r="L29" s="104">
        <v>0.38541666666666669</v>
      </c>
      <c r="M29" s="154">
        <v>17</v>
      </c>
      <c r="N29" s="91"/>
      <c r="O29" s="92" t="str">
        <f>IFERROR(VLOOKUP(Tabela2[[#This Row],[Placa]],Tabela4[[PLACA ]:[MOTORISTA ]],2,0),"")</f>
        <v>153-MAURO ROQUE DOS SANTOS</v>
      </c>
      <c r="P29" s="92"/>
      <c r="AG29" s="84" t="s">
        <v>304</v>
      </c>
      <c r="AH29" s="144" t="s">
        <v>165</v>
      </c>
      <c r="AI29" s="96" t="s">
        <v>164</v>
      </c>
      <c r="AJ29" s="85" t="s">
        <v>193</v>
      </c>
    </row>
    <row r="30" spans="1:36" s="83" customFormat="1" ht="52" x14ac:dyDescent="0.35">
      <c r="A30" s="100">
        <f>COUNTIF(MATINAIS!$B$2:$C$19,ESCALA!E14)</f>
        <v>1</v>
      </c>
      <c r="B30" s="72">
        <f>COUNTIF(MATINAIS!$C$2:$C$18,ESCALA!F14)</f>
        <v>1</v>
      </c>
      <c r="C30" s="26" t="s">
        <v>13</v>
      </c>
      <c r="D30" s="26">
        <v>372711</v>
      </c>
      <c r="E30" s="117" t="s">
        <v>50</v>
      </c>
      <c r="F30" s="117" t="s">
        <v>51</v>
      </c>
      <c r="G30" s="117" t="s">
        <v>57</v>
      </c>
      <c r="H30" s="26">
        <v>53.39</v>
      </c>
      <c r="I30" s="26" t="s">
        <v>459</v>
      </c>
      <c r="J30" s="25" t="s">
        <v>460</v>
      </c>
      <c r="K30" s="114">
        <v>6636</v>
      </c>
      <c r="L30" s="112">
        <v>0.36458333333333331</v>
      </c>
      <c r="M30" s="154">
        <v>10</v>
      </c>
      <c r="N30" s="26"/>
      <c r="O30" s="26" t="str">
        <f>IFERROR(VLOOKUP(Tabela2[[#This Row],[Placa]],Tabela4[[PLACA ]:[MOTORISTA ]],2,0),"")</f>
        <v>9-FABIO LUIZ FERREIRA</v>
      </c>
      <c r="P30" s="26" t="str">
        <f>IF(Tabela2[[#This Row],[Motorista]]=Tabela2[[#This Row],[ORIGINAL]],"OK","NOK")</f>
        <v>NOK</v>
      </c>
      <c r="AG30" s="84"/>
      <c r="AH30" s="95" t="s">
        <v>45</v>
      </c>
      <c r="AI30" s="95" t="s">
        <v>46</v>
      </c>
      <c r="AJ30" s="85" t="s">
        <v>192</v>
      </c>
    </row>
    <row r="31" spans="1:36" ht="31" x14ac:dyDescent="0.35">
      <c r="A31" s="100">
        <f>COUNTIF(MATINAIS!$B$2:$C$19,ESCALA!E29)</f>
        <v>1</v>
      </c>
      <c r="B31" s="72">
        <f>COUNTIF(MATINAIS!$C$2:$C$18,ESCALA!F29)</f>
        <v>1</v>
      </c>
      <c r="C31" s="91" t="s">
        <v>430</v>
      </c>
      <c r="D31" s="91">
        <v>372700</v>
      </c>
      <c r="E31" s="117">
        <f>IFERROR(VLOOKUP(C31,$AG:$AI,2,FALSE),)</f>
        <v>0</v>
      </c>
      <c r="F31" s="117">
        <f>IFERROR(VLOOKUP(C31,$AG:$AI,3,FALSE),)</f>
        <v>0</v>
      </c>
      <c r="G31" s="117"/>
      <c r="H31" s="91">
        <v>73.989999999999995</v>
      </c>
      <c r="I31" s="91" t="s">
        <v>431</v>
      </c>
      <c r="J31" s="145" t="s">
        <v>432</v>
      </c>
      <c r="K31" s="146">
        <v>4823</v>
      </c>
      <c r="L31" s="147">
        <v>0.22708333333333333</v>
      </c>
      <c r="M31" s="137">
        <v>2</v>
      </c>
      <c r="N31" s="91"/>
      <c r="O31" s="92" t="str">
        <f>IFERROR(VLOOKUP(Tabela2[[#This Row],[Placa]],Tabela4[[PLACA ]:[MOTORISTA ]],2,0),"")</f>
        <v/>
      </c>
      <c r="P31" s="92"/>
      <c r="AG31" s="106" t="s">
        <v>17</v>
      </c>
      <c r="AH31" s="110" t="s">
        <v>37</v>
      </c>
      <c r="AI31" s="111" t="s">
        <v>38</v>
      </c>
      <c r="AJ31" s="107" t="s">
        <v>189</v>
      </c>
    </row>
    <row r="32" spans="1:36" ht="78" x14ac:dyDescent="0.35">
      <c r="A32" s="100">
        <f>COUNTIF(MATINAIS!$B$2:$C$19,ESCALA!E25)</f>
        <v>1</v>
      </c>
      <c r="B32" s="72">
        <f>COUNTIF(MATINAIS!$C$2:$C$18,ESCALA!F25)</f>
        <v>1</v>
      </c>
      <c r="C32" s="26" t="s">
        <v>25</v>
      </c>
      <c r="D32" s="26">
        <v>372712</v>
      </c>
      <c r="E32" s="117" t="str">
        <f>IFERROR(VLOOKUP(C32,$AG:$AI,2,FALSE),)</f>
        <v>98-GERSON APARECIDO DE MOURA</v>
      </c>
      <c r="F32" s="117" t="s">
        <v>36</v>
      </c>
      <c r="G32" s="117"/>
      <c r="H32" s="26">
        <v>61.08</v>
      </c>
      <c r="I32" s="26" t="s">
        <v>374</v>
      </c>
      <c r="J32" s="25" t="s">
        <v>462</v>
      </c>
      <c r="K32" s="26">
        <v>5290</v>
      </c>
      <c r="L32" s="112">
        <v>0.38194444444444442</v>
      </c>
      <c r="M32" s="154">
        <v>20</v>
      </c>
      <c r="N32" s="94"/>
      <c r="O32" s="94" t="str">
        <f>IFERROR(VLOOKUP(Tabela2[[#This Row],[Placa]],Tabela4[[PLACA ]:[MOTORISTA ]],2,0),"")</f>
        <v>98-GERSON APARECIDO DE MOURA</v>
      </c>
      <c r="P32" s="94"/>
      <c r="AG32" s="106" t="s">
        <v>16</v>
      </c>
      <c r="AH32" s="111" t="s">
        <v>39</v>
      </c>
      <c r="AI32" s="111" t="s">
        <v>108</v>
      </c>
      <c r="AJ32" s="107" t="s">
        <v>312</v>
      </c>
    </row>
    <row r="33" spans="1:36" s="83" customFormat="1" ht="31" x14ac:dyDescent="0.35">
      <c r="A33" s="100">
        <f>COUNTIF(MATINAIS!$B$2:$C$19,ESCALA!E31)</f>
        <v>0</v>
      </c>
      <c r="B33" s="72">
        <f>COUNTIF(MATINAIS!$C$2:$C$18,ESCALA!F31)</f>
        <v>0</v>
      </c>
      <c r="C33" s="92" t="s">
        <v>356</v>
      </c>
      <c r="D33" s="92">
        <v>372705</v>
      </c>
      <c r="E33" s="117" t="str">
        <f>IFERROR(VLOOKUP(C33,$AG:$AI,2,FALSE),)</f>
        <v>Thiago Freire</v>
      </c>
      <c r="F33" s="117">
        <f>IFERROR(VLOOKUP(C33,$AG:$AI,3,FALSE),)</f>
        <v>0</v>
      </c>
      <c r="G33" s="117"/>
      <c r="H33" s="92">
        <v>17.86</v>
      </c>
      <c r="I33" s="92" t="s">
        <v>390</v>
      </c>
      <c r="J33" s="141" t="s">
        <v>445</v>
      </c>
      <c r="K33" s="142">
        <v>4577</v>
      </c>
      <c r="L33" s="143">
        <v>0.15763888888888888</v>
      </c>
      <c r="M33" s="137">
        <v>2</v>
      </c>
      <c r="N33" s="92"/>
      <c r="O33" s="92" t="str">
        <f>IFERROR(VLOOKUP(Tabela2[[#This Row],[Placa]],Tabela4[[PLACA ]:[MOTORISTA ]],2,0),"")</f>
        <v>Thiago Freire</v>
      </c>
      <c r="P33" s="92"/>
      <c r="AG33" s="84" t="s">
        <v>29</v>
      </c>
      <c r="AH33" s="144" t="s">
        <v>49</v>
      </c>
      <c r="AI33" s="144" t="s">
        <v>111</v>
      </c>
      <c r="AJ33" s="85" t="s">
        <v>313</v>
      </c>
    </row>
    <row r="34" spans="1:36" s="86" customFormat="1" ht="31" x14ac:dyDescent="0.35">
      <c r="A34" s="100">
        <f>COUNTIF(MATINAIS!$B$2:$C$19,ESCALA!E27)</f>
        <v>1</v>
      </c>
      <c r="B34" s="72">
        <f>COUNTIF(MATINAIS!$C$2:$C$18,ESCALA!F27)</f>
        <v>1</v>
      </c>
      <c r="C34" s="101" t="s">
        <v>464</v>
      </c>
      <c r="D34" s="101">
        <v>372713</v>
      </c>
      <c r="E34" s="117" t="s">
        <v>93</v>
      </c>
      <c r="F34" s="117" t="s">
        <v>94</v>
      </c>
      <c r="G34" s="117"/>
      <c r="H34" s="101">
        <v>33.08</v>
      </c>
      <c r="I34" s="101" t="s">
        <v>370</v>
      </c>
      <c r="J34" s="102" t="s">
        <v>465</v>
      </c>
      <c r="K34" s="103">
        <v>5230</v>
      </c>
      <c r="L34" s="104">
        <v>0.3888888888888889</v>
      </c>
      <c r="M34" s="154">
        <v>21</v>
      </c>
      <c r="N34" s="101"/>
      <c r="O34" s="26" t="str">
        <f>IFERROR(VLOOKUP(Tabela2[[#This Row],[Placa]],Tabela4[[PLACA ]:[MOTORISTA ]],2,0),"")</f>
        <v/>
      </c>
      <c r="P34" s="26" t="str">
        <f>IF(Tabela2[[#This Row],[Motorista]]=Tabela2[[#This Row],[ORIGINAL]],"OK","NOK")</f>
        <v>NOK</v>
      </c>
      <c r="AG34" s="87" t="s">
        <v>349</v>
      </c>
      <c r="AH34" s="152" t="s">
        <v>88</v>
      </c>
      <c r="AI34" s="152" t="s">
        <v>89</v>
      </c>
      <c r="AJ34" s="152" t="s">
        <v>190</v>
      </c>
    </row>
    <row r="35" spans="1:36" s="138" customFormat="1" ht="78" x14ac:dyDescent="0.35">
      <c r="A35" s="100">
        <f>COUNTIF(MATINAIS!$B$2:$C$19,ESCALA!E39)</f>
        <v>0</v>
      </c>
      <c r="B35" s="72">
        <f>COUNTIF(MATINAIS!$C$2:$C$18,ESCALA!F39)</f>
        <v>0</v>
      </c>
      <c r="C35" s="26" t="s">
        <v>27</v>
      </c>
      <c r="D35" s="26">
        <v>372714</v>
      </c>
      <c r="E35" s="117" t="s">
        <v>41</v>
      </c>
      <c r="F35" s="117" t="s">
        <v>42</v>
      </c>
      <c r="G35" s="117"/>
      <c r="H35" s="26">
        <v>116.14</v>
      </c>
      <c r="I35" s="26" t="s">
        <v>467</v>
      </c>
      <c r="J35" s="25" t="s">
        <v>468</v>
      </c>
      <c r="K35" s="114">
        <v>2087</v>
      </c>
      <c r="L35" s="112">
        <v>0.37708333333333333</v>
      </c>
      <c r="M35" s="27">
        <v>22</v>
      </c>
      <c r="N35" s="26"/>
      <c r="O35" s="26" t="str">
        <f>IFERROR(VLOOKUP(Tabela2[[#This Row],[Placa]],Tabela4[[PLACA ]:[MOTORISTA ]],2,0),"")</f>
        <v>5-BENEDITO ROGERIO DE ANDRADE</v>
      </c>
      <c r="P35" s="26" t="str">
        <f>IF(Tabela2[[#This Row],[Motorista]]=Tabela2[[#This Row],[ORIGINAL]],"OK","NOK")</f>
        <v>NOK</v>
      </c>
      <c r="AG35" s="139" t="s">
        <v>53</v>
      </c>
      <c r="AH35" s="140" t="s">
        <v>50</v>
      </c>
      <c r="AI35" s="140" t="s">
        <v>51</v>
      </c>
      <c r="AJ35" s="140" t="s">
        <v>311</v>
      </c>
    </row>
    <row r="36" spans="1:36" s="138" customFormat="1" ht="53.25" customHeight="1" x14ac:dyDescent="0.35">
      <c r="A36" s="100">
        <f>COUNTIF(MATINAIS!$B$2:$C$19,ESCALA!E9)</f>
        <v>0</v>
      </c>
      <c r="B36" s="72">
        <f>COUNTIF(MATINAIS!$C$2:$C$18,ESCALA!F9)</f>
        <v>0</v>
      </c>
      <c r="C36" s="101" t="s">
        <v>14</v>
      </c>
      <c r="D36" s="101">
        <v>372715</v>
      </c>
      <c r="E36" s="117" t="str">
        <f>IFERROR(VLOOKUP(C36,$AG:$AI,2,FALSE),)</f>
        <v>89-ERIVELTON LANDIM MEDEIROS</v>
      </c>
      <c r="F36" s="117" t="str">
        <f>IFERROR(VLOOKUP(C36,$AG:$AI,3,FALSE),)</f>
        <v>49-AMAURI DA SILVA SANTOS</v>
      </c>
      <c r="G36" s="117" t="s">
        <v>116</v>
      </c>
      <c r="H36" s="101">
        <v>24.43</v>
      </c>
      <c r="I36" s="101" t="s">
        <v>470</v>
      </c>
      <c r="J36" s="102" t="s">
        <v>471</v>
      </c>
      <c r="K36" s="103">
        <v>8095</v>
      </c>
      <c r="L36" s="104">
        <v>0.3576388888888889</v>
      </c>
      <c r="M36" s="105">
        <v>12</v>
      </c>
      <c r="N36" s="101"/>
      <c r="O36" s="26" t="str">
        <f>IFERROR(VLOOKUP(Tabela2[[#This Row],[Placa]],Tabela4[[PLACA ]:[MOTORISTA ]],2,0),"")</f>
        <v>89-ERIVELTON LANDIM MEDEIROS</v>
      </c>
      <c r="P36" s="26" t="str">
        <f>IF(Tabela2[[#This Row],[Motorista]]=Tabela2[[#This Row],[ORIGINAL]],"OK","NOK")</f>
        <v>OK</v>
      </c>
      <c r="AG36" s="139"/>
      <c r="AH36" s="140"/>
      <c r="AI36" s="140"/>
      <c r="AJ36" s="140"/>
    </row>
    <row r="37" spans="1:36" s="149" customFormat="1" ht="48" x14ac:dyDescent="0.35">
      <c r="A37" s="100">
        <f>COUNTIF(MATINAIS!$B$2:$C$19,ESCALA!E20)</f>
        <v>0</v>
      </c>
      <c r="B37" s="72">
        <f>COUNTIF(MATINAIS!$C$2:$C$18,ESCALA!F20)</f>
        <v>0</v>
      </c>
      <c r="C37" s="101" t="s">
        <v>84</v>
      </c>
      <c r="D37" s="101">
        <v>372716</v>
      </c>
      <c r="E37" s="117" t="str">
        <f>IFERROR(VLOOKUP(C37,$AG:$AI,2,FALSE),)</f>
        <v>168-RODRIGO CAETANO MARQUES</v>
      </c>
      <c r="F37" s="117" t="s">
        <v>76</v>
      </c>
      <c r="G37" s="117"/>
      <c r="H37" s="101">
        <v>43.51</v>
      </c>
      <c r="I37" s="101" t="s">
        <v>377</v>
      </c>
      <c r="J37" s="102" t="s">
        <v>473</v>
      </c>
      <c r="K37" s="103">
        <v>5903</v>
      </c>
      <c r="L37" s="104">
        <v>0.38472222222222224</v>
      </c>
      <c r="M37" s="105">
        <v>15</v>
      </c>
      <c r="N37" s="101"/>
      <c r="O37" s="26"/>
      <c r="P37" s="26"/>
      <c r="AG37" s="150" t="s">
        <v>355</v>
      </c>
      <c r="AH37" s="151" t="s">
        <v>363</v>
      </c>
      <c r="AI37" s="151"/>
      <c r="AJ37" s="151"/>
    </row>
    <row r="38" spans="1:36" ht="32" x14ac:dyDescent="0.35">
      <c r="A38" s="100">
        <f>COUNTIF(MATINAIS!$B$2:$C$19,ESCALA!E33)</f>
        <v>0</v>
      </c>
      <c r="B38" s="72">
        <f>COUNTIF(MATINAIS!$C$2:$C$18,ESCALA!F33)</f>
        <v>0</v>
      </c>
      <c r="C38" s="101" t="s">
        <v>475</v>
      </c>
      <c r="D38" s="101">
        <v>372717</v>
      </c>
      <c r="E38" s="117" t="s">
        <v>104</v>
      </c>
      <c r="F38" s="117" t="s">
        <v>83</v>
      </c>
      <c r="G38" s="117"/>
      <c r="H38" s="101">
        <v>38.42</v>
      </c>
      <c r="I38" s="101" t="s">
        <v>476</v>
      </c>
      <c r="J38" s="102" t="s">
        <v>477</v>
      </c>
      <c r="K38" s="103">
        <v>3832</v>
      </c>
      <c r="L38" s="104">
        <v>0.38333333333333336</v>
      </c>
      <c r="M38" s="105">
        <v>20</v>
      </c>
      <c r="N38" s="101"/>
      <c r="O38" s="26" t="str">
        <f>IFERROR(VLOOKUP(Tabela2[[#This Row],[Placa]],Tabela4[[PLACA ]:[MOTORISTA ]],2,0),"")</f>
        <v/>
      </c>
      <c r="P38" s="26" t="str">
        <f>IF(Tabela2[[#This Row],[Motorista]]=Tabela2[[#This Row],[ORIGINAL]],"OK","NOK")</f>
        <v>NOK</v>
      </c>
      <c r="AG38" s="26" t="s">
        <v>356</v>
      </c>
      <c r="AH38" s="109" t="s">
        <v>364</v>
      </c>
      <c r="AI38" s="109"/>
      <c r="AJ38" s="109"/>
    </row>
    <row r="39" spans="1:36" ht="49.5" customHeight="1" x14ac:dyDescent="0.35">
      <c r="A39" s="100">
        <f>COUNTIF(MATINAIS!$B$2:$C$19,ESCALA!E28)</f>
        <v>1</v>
      </c>
      <c r="B39" s="72">
        <f>COUNTIF(MATINAIS!$C$2:$C$18,ESCALA!F28)</f>
        <v>1</v>
      </c>
      <c r="C39" s="101" t="s">
        <v>28</v>
      </c>
      <c r="D39" s="101">
        <v>372718</v>
      </c>
      <c r="E39" s="117" t="str">
        <f t="shared" ref="E39:E70" si="1">IFERROR(VLOOKUP(C39,$AG:$AI,2,FALSE),)</f>
        <v>187-ALEXANDRE LUIS FRANKLIN DOS SANTOS</v>
      </c>
      <c r="F39" s="117" t="s">
        <v>59</v>
      </c>
      <c r="G39" s="117"/>
      <c r="H39" s="101">
        <v>33.06</v>
      </c>
      <c r="I39" s="101" t="s">
        <v>374</v>
      </c>
      <c r="J39" s="102" t="s">
        <v>479</v>
      </c>
      <c r="K39" s="103">
        <v>5097</v>
      </c>
      <c r="L39" s="104">
        <v>0.38333333333333336</v>
      </c>
      <c r="M39" s="105">
        <v>20</v>
      </c>
      <c r="N39" s="101"/>
      <c r="O39" s="26" t="str">
        <f>IFERROR(VLOOKUP(Tabela2[[#This Row],[Placa]],Tabela4[[PLACA ]:[MOTORISTA ]],2,0),"")</f>
        <v>187-ALEXANDRE LUIS FRANKLIN DOS SANTOS</v>
      </c>
      <c r="P39" s="26" t="str">
        <f>IF(Tabela2[[#This Row],[Motorista]]=Tabela2[[#This Row],[ORIGINAL]],"OK","NOK")</f>
        <v>OK</v>
      </c>
      <c r="AG39" s="26" t="s">
        <v>357</v>
      </c>
      <c r="AH39" s="109" t="s">
        <v>365</v>
      </c>
      <c r="AI39" s="110"/>
      <c r="AJ39" s="107"/>
    </row>
    <row r="40" spans="1:36" s="83" customFormat="1" ht="49.5" customHeight="1" x14ac:dyDescent="0.35">
      <c r="A40" s="100">
        <f>COUNTIF(MATINAIS!$B$2:$C$19,ESCALA!E40)</f>
        <v>0</v>
      </c>
      <c r="B40" s="72">
        <f>COUNTIF(MATINAIS!$C$2:$C$18,ESCALA!F40)</f>
        <v>0</v>
      </c>
      <c r="C40" s="92" t="s">
        <v>357</v>
      </c>
      <c r="D40" s="92">
        <v>372687</v>
      </c>
      <c r="E40" s="168" t="str">
        <f t="shared" si="1"/>
        <v>Edson Rodolfo Da Costa</v>
      </c>
      <c r="F40" s="168">
        <f t="shared" ref="F40:F71" si="2">IFERROR(VLOOKUP(C40,$AG:$AI,3,FALSE),)</f>
        <v>0</v>
      </c>
      <c r="G40" s="168"/>
      <c r="H40" s="92">
        <v>77.3</v>
      </c>
      <c r="I40" s="92" t="s">
        <v>381</v>
      </c>
      <c r="J40" s="141" t="s">
        <v>401</v>
      </c>
      <c r="K40" s="92">
        <v>609</v>
      </c>
      <c r="L40" s="143">
        <v>0.25208333333333333</v>
      </c>
      <c r="M40" s="137">
        <v>18</v>
      </c>
      <c r="N40" s="92"/>
      <c r="O40" s="92" t="str">
        <f>IFERROR(VLOOKUP(Tabela2[[#This Row],[Placa]],Tabela4[[PLACA ]:[MOTORISTA ]],2,0),"")</f>
        <v>Edson Rodolfo Da Costa</v>
      </c>
      <c r="P40" s="92"/>
      <c r="AG40" s="91" t="s">
        <v>358</v>
      </c>
      <c r="AH40" s="144" t="s">
        <v>366</v>
      </c>
      <c r="AI40" s="144"/>
      <c r="AJ40" s="85"/>
    </row>
    <row r="41" spans="1:36" s="83" customFormat="1" ht="49.5" customHeight="1" x14ac:dyDescent="0.35">
      <c r="A41" s="100">
        <f>COUNTIF(MATINAIS!$B$2:$C$19,ESCALA!E41)</f>
        <v>0</v>
      </c>
      <c r="B41" s="72">
        <f>COUNTIF(MATINAIS!$C$2:$C$18,ESCALA!F41)</f>
        <v>0</v>
      </c>
      <c r="C41" s="92" t="s">
        <v>378</v>
      </c>
      <c r="D41" s="92">
        <v>372710</v>
      </c>
      <c r="E41" s="168">
        <f t="shared" si="1"/>
        <v>0</v>
      </c>
      <c r="F41" s="168">
        <f t="shared" si="2"/>
        <v>0</v>
      </c>
      <c r="G41" s="168"/>
      <c r="H41" s="92">
        <v>45.15</v>
      </c>
      <c r="I41" s="92" t="s">
        <v>456</v>
      </c>
      <c r="J41" s="141" t="s">
        <v>457</v>
      </c>
      <c r="K41" s="142">
        <v>594</v>
      </c>
      <c r="L41" s="143">
        <v>0.14097222222222222</v>
      </c>
      <c r="M41" s="137">
        <v>10</v>
      </c>
      <c r="N41" s="92"/>
      <c r="O41" s="92" t="str">
        <f>IFERROR(VLOOKUP(Tabela2[[#This Row],[Placa]],Tabela4[[PLACA ]:[MOTORISTA ]],2,0),"")</f>
        <v/>
      </c>
      <c r="P41" s="92" t="str">
        <f>IF(Tabela2[[#This Row],[Motorista]]=Tabela2[[#This Row],[ORIGINAL]],"OK","NOK")</f>
        <v>NOK</v>
      </c>
      <c r="AG41" s="91" t="s">
        <v>359</v>
      </c>
      <c r="AH41" s="144" t="s">
        <v>367</v>
      </c>
      <c r="AI41" s="144"/>
      <c r="AJ41" s="85"/>
    </row>
    <row r="42" spans="1:36" ht="49.5" customHeight="1" x14ac:dyDescent="0.35">
      <c r="A42" s="100">
        <f>COUNTIF(MATINAIS!$B$2:$C$19,ESCALA!E42)</f>
        <v>0</v>
      </c>
      <c r="B42" s="72">
        <f>COUNTIF(MATINAIS!$C$2:$C$18,ESCALA!F42)</f>
        <v>0</v>
      </c>
      <c r="C42" s="91" t="s">
        <v>355</v>
      </c>
      <c r="D42" s="91">
        <v>372706</v>
      </c>
      <c r="E42" s="117" t="str">
        <f t="shared" si="1"/>
        <v>Jose Gabriel Bento</v>
      </c>
      <c r="F42" s="117">
        <f t="shared" si="2"/>
        <v>0</v>
      </c>
      <c r="G42" s="117"/>
      <c r="H42" s="91">
        <v>39.17</v>
      </c>
      <c r="I42" s="91" t="s">
        <v>383</v>
      </c>
      <c r="J42" s="145" t="s">
        <v>447</v>
      </c>
      <c r="K42" s="146">
        <v>589</v>
      </c>
      <c r="L42" s="147">
        <v>0.1361111111111111</v>
      </c>
      <c r="M42" s="137">
        <v>12</v>
      </c>
      <c r="N42" s="91"/>
      <c r="O42" s="92" t="str">
        <f>IFERROR(VLOOKUP(Tabela2[[#This Row],[Placa]],Tabela4[[PLACA ]:[MOTORISTA ]],2,0),"")</f>
        <v>Jose Gabriel Bento</v>
      </c>
      <c r="P42" s="92" t="str">
        <f>IF(Tabela2[[#This Row],[Motorista]]=Tabela2[[#This Row],[ORIGINAL]],"OK","NOK")</f>
        <v>OK</v>
      </c>
      <c r="AG42" s="106"/>
      <c r="AH42" s="111"/>
      <c r="AI42" s="109"/>
      <c r="AJ42" s="107"/>
    </row>
    <row r="43" spans="1:36" ht="51" customHeight="1" x14ac:dyDescent="0.35">
      <c r="A43" s="100">
        <f>COUNTIF(MATINAIS!$B$2:$C$19,ESCALA!E43)</f>
        <v>0</v>
      </c>
      <c r="B43" s="72">
        <f>COUNTIF(MATINAIS!$C$2:$C$18,ESCALA!F43)</f>
        <v>0</v>
      </c>
      <c r="C43" s="26"/>
      <c r="D43" s="26"/>
      <c r="E43" s="108">
        <f t="shared" si="1"/>
        <v>0</v>
      </c>
      <c r="F43" s="26">
        <f t="shared" si="2"/>
        <v>0</v>
      </c>
      <c r="G43" s="26"/>
      <c r="H43" s="26"/>
      <c r="I43" s="26"/>
      <c r="J43" s="25"/>
      <c r="K43" s="114"/>
      <c r="L43" s="112"/>
      <c r="M43" s="113"/>
      <c r="N43" s="26"/>
      <c r="O43" s="26" t="str">
        <f>IFERROR(VLOOKUP(Tabela2[[#This Row],[Placa]],Tabela4[[PLACA ]:[MOTORISTA ]],2,0),"")</f>
        <v/>
      </c>
      <c r="P43" s="26" t="str">
        <f>IF(Tabela2[[#This Row],[Motorista]]=Tabela2[[#This Row],[ORIGINAL]],"OK","NOK")</f>
        <v>NOK</v>
      </c>
      <c r="AG43" s="106"/>
      <c r="AH43" s="111"/>
      <c r="AI43" s="111"/>
      <c r="AJ43" s="107"/>
    </row>
    <row r="44" spans="1:36" ht="49.5" customHeight="1" x14ac:dyDescent="0.35">
      <c r="A44" s="100">
        <f>COUNTIF(MATINAIS!$B$2:$C$19,ESCALA!E44)</f>
        <v>0</v>
      </c>
      <c r="B44" s="72">
        <f>COUNTIF(MATINAIS!$C$2:$C$18,ESCALA!F44)</f>
        <v>0</v>
      </c>
      <c r="C44" s="26"/>
      <c r="D44" s="26"/>
      <c r="E44" s="108">
        <f t="shared" si="1"/>
        <v>0</v>
      </c>
      <c r="F44" s="26">
        <f t="shared" si="2"/>
        <v>0</v>
      </c>
      <c r="G44" s="26"/>
      <c r="H44" s="26"/>
      <c r="I44" s="26"/>
      <c r="J44" s="25"/>
      <c r="K44" s="114"/>
      <c r="L44" s="112"/>
      <c r="M44" s="113"/>
      <c r="N44" s="26"/>
      <c r="O44" s="26" t="str">
        <f>IFERROR(VLOOKUP(Tabela2[[#This Row],[Placa]],Tabela4[[PLACA ]:[MOTORISTA ]],2,0),"")</f>
        <v/>
      </c>
      <c r="P44" s="26"/>
    </row>
    <row r="45" spans="1:36" ht="49.5" customHeight="1" x14ac:dyDescent="0.35">
      <c r="A45" s="100">
        <f>COUNTIF(MATINAIS!$B$2:$C$19,ESCALA!E45)</f>
        <v>0</v>
      </c>
      <c r="B45" s="72">
        <f>COUNTIF(MATINAIS!$C$2:$C$18,ESCALA!F45)</f>
        <v>0</v>
      </c>
      <c r="C45" s="26"/>
      <c r="D45" s="26"/>
      <c r="E45" s="108">
        <f t="shared" si="1"/>
        <v>0</v>
      </c>
      <c r="F45" s="115">
        <f t="shared" si="2"/>
        <v>0</v>
      </c>
      <c r="G45" s="116"/>
      <c r="H45" s="26"/>
      <c r="I45" s="26"/>
      <c r="J45" s="25"/>
      <c r="K45" s="26"/>
      <c r="L45" s="112"/>
      <c r="M45" s="113"/>
      <c r="N45" s="26"/>
      <c r="O45" s="26" t="str">
        <f>IFERROR(VLOOKUP(Tabela2[[#This Row],[Placa]],Tabela4[[PLACA ]:[MOTORISTA ]],2,0),"")</f>
        <v/>
      </c>
      <c r="P45" s="26"/>
    </row>
    <row r="46" spans="1:36" ht="49.5" customHeight="1" x14ac:dyDescent="0.35">
      <c r="A46" s="100">
        <f>COUNTIF(MATINAIS!$B$2:$C$19,ESCALA!E46)</f>
        <v>0</v>
      </c>
      <c r="B46" s="72">
        <f>COUNTIF(MATINAIS!$C$2:$C$18,ESCALA!F46)</f>
        <v>0</v>
      </c>
      <c r="C46" s="26"/>
      <c r="D46" s="26"/>
      <c r="E46" s="108">
        <f t="shared" si="1"/>
        <v>0</v>
      </c>
      <c r="F46" s="108">
        <f t="shared" si="2"/>
        <v>0</v>
      </c>
      <c r="G46" s="26"/>
      <c r="H46" s="26"/>
      <c r="I46" s="26"/>
      <c r="J46" s="25"/>
      <c r="K46" s="26"/>
      <c r="L46" s="112"/>
      <c r="M46" s="113"/>
      <c r="N46" s="26"/>
      <c r="O46" s="26" t="str">
        <f>IFERROR(VLOOKUP(Tabela2[[#This Row],[Placa]],Tabela4[[PLACA ]:[MOTORISTA ]],2,0),"")</f>
        <v/>
      </c>
      <c r="P46" s="26"/>
    </row>
    <row r="47" spans="1:36" ht="49.5" customHeight="1" x14ac:dyDescent="0.35">
      <c r="A47" s="100">
        <f>COUNTIF(MATINAIS!$B$2:$C$19,ESCALA!E47)</f>
        <v>0</v>
      </c>
      <c r="B47" s="72">
        <f>COUNTIF(MATINAIS!$C$2:$C$18,ESCALA!F47)</f>
        <v>0</v>
      </c>
      <c r="C47" s="26"/>
      <c r="D47" s="26"/>
      <c r="E47" s="108">
        <f t="shared" si="1"/>
        <v>0</v>
      </c>
      <c r="F47" s="108">
        <f t="shared" si="2"/>
        <v>0</v>
      </c>
      <c r="G47" s="26"/>
      <c r="H47" s="26"/>
      <c r="I47" s="26"/>
      <c r="J47" s="25"/>
      <c r="K47" s="26"/>
      <c r="L47" s="112"/>
      <c r="M47" s="113"/>
      <c r="N47" s="26"/>
      <c r="O47" s="26" t="str">
        <f>IFERROR(VLOOKUP(Tabela2[[#This Row],[Placa]],Tabela4[[PLACA ]:[MOTORISTA ]],2,0),"")</f>
        <v/>
      </c>
      <c r="P47" s="26"/>
    </row>
    <row r="48" spans="1:36" ht="49.5" customHeight="1" x14ac:dyDescent="0.35">
      <c r="A48" s="100">
        <f>COUNTIF(MATINAIS!$B$2:$C$19,ESCALA!E48)</f>
        <v>0</v>
      </c>
      <c r="B48" s="72">
        <f>COUNTIF(MATINAIS!$C$2:$C$18,ESCALA!F48)</f>
        <v>0</v>
      </c>
      <c r="C48" s="26"/>
      <c r="D48" s="26"/>
      <c r="E48" s="108">
        <f t="shared" si="1"/>
        <v>0</v>
      </c>
      <c r="F48" s="108">
        <f t="shared" si="2"/>
        <v>0</v>
      </c>
      <c r="G48" s="26"/>
      <c r="H48" s="26"/>
      <c r="I48" s="26"/>
      <c r="J48" s="25"/>
      <c r="K48" s="26"/>
      <c r="L48" s="112"/>
      <c r="M48" s="113"/>
      <c r="N48" s="26"/>
      <c r="O48" s="26" t="str">
        <f>IFERROR(VLOOKUP(Tabela2[[#This Row],[Placa]],Tabela4[[PLACA ]:[MOTORISTA ]],2,0),"")</f>
        <v/>
      </c>
      <c r="P48" s="26"/>
    </row>
    <row r="49" spans="1:16" ht="49.5" customHeight="1" x14ac:dyDescent="0.35">
      <c r="A49" s="100">
        <f>COUNTIF(MATINAIS!$B$2:$C$19,ESCALA!E49)</f>
        <v>0</v>
      </c>
      <c r="B49" s="72">
        <f>COUNTIF(MATINAIS!$C$2:$C$18,ESCALA!F49)</f>
        <v>0</v>
      </c>
      <c r="C49" s="26"/>
      <c r="D49" s="26"/>
      <c r="E49" s="26">
        <f t="shared" si="1"/>
        <v>0</v>
      </c>
      <c r="F49" s="101">
        <f t="shared" si="2"/>
        <v>0</v>
      </c>
      <c r="G49" s="26"/>
      <c r="H49" s="26"/>
      <c r="I49" s="26"/>
      <c r="J49" s="25"/>
      <c r="K49" s="26"/>
      <c r="L49" s="112"/>
      <c r="M49" s="113"/>
      <c r="N49" s="26"/>
      <c r="O49" s="26" t="str">
        <f>IFERROR(VLOOKUP(Tabela2[[#This Row],[Placa]],Tabela4[[PLACA ]:[MOTORISTA ]],2,0),"")</f>
        <v/>
      </c>
      <c r="P49" s="26"/>
    </row>
    <row r="50" spans="1:16" ht="49.5" customHeight="1" x14ac:dyDescent="0.35">
      <c r="A50" s="100">
        <f>COUNTIF(MATINAIS!$B$2:$C$19,ESCALA!E50)</f>
        <v>0</v>
      </c>
      <c r="B50" s="72">
        <f>COUNTIF(MATINAIS!$C$2:$C$18,ESCALA!F50)</f>
        <v>0</v>
      </c>
      <c r="C50" s="26"/>
      <c r="D50" s="26"/>
      <c r="E50" s="26">
        <f t="shared" si="1"/>
        <v>0</v>
      </c>
      <c r="F50" s="101">
        <f t="shared" si="2"/>
        <v>0</v>
      </c>
      <c r="G50" s="26"/>
      <c r="H50" s="26"/>
      <c r="I50" s="26"/>
      <c r="J50" s="25"/>
      <c r="K50" s="26"/>
      <c r="L50" s="112"/>
      <c r="M50" s="113"/>
      <c r="N50" s="26"/>
      <c r="O50" s="26" t="str">
        <f>IFERROR(VLOOKUP(Tabela2[[#This Row],[Placa]],Tabela4[[PLACA ]:[MOTORISTA ]],2,0),"")</f>
        <v/>
      </c>
      <c r="P50" s="26"/>
    </row>
    <row r="51" spans="1:16" ht="49.5" customHeight="1" x14ac:dyDescent="0.35">
      <c r="A51" s="100">
        <f>COUNTIF(MATINAIS!$B$2:$C$19,ESCALA!E51)</f>
        <v>0</v>
      </c>
      <c r="B51" s="72">
        <f>COUNTIF(MATINAIS!$C$2:$C$18,ESCALA!F51)</f>
        <v>0</v>
      </c>
      <c r="C51" s="26"/>
      <c r="D51" s="26"/>
      <c r="E51" s="26">
        <f t="shared" si="1"/>
        <v>0</v>
      </c>
      <c r="F51" s="101">
        <f t="shared" si="2"/>
        <v>0</v>
      </c>
      <c r="G51" s="26"/>
      <c r="H51" s="26"/>
      <c r="I51" s="26"/>
      <c r="J51" s="25"/>
      <c r="K51" s="26"/>
      <c r="L51" s="112"/>
      <c r="M51" s="113"/>
      <c r="N51" s="26"/>
      <c r="O51" s="26" t="str">
        <f>IFERROR(VLOOKUP(Tabela2[[#This Row],[Placa]],Tabela4[[PLACA ]:[MOTORISTA ]],2,0),"")</f>
        <v/>
      </c>
      <c r="P51" s="26"/>
    </row>
    <row r="52" spans="1:16" ht="49.5" customHeight="1" x14ac:dyDescent="0.35">
      <c r="A52" s="100">
        <f>COUNTIF(MATINAIS!$B$2:$C$19,ESCALA!E52)</f>
        <v>0</v>
      </c>
      <c r="B52" s="72">
        <f>COUNTIF(MATINAIS!$C$2:$C$18,ESCALA!F52)</f>
        <v>0</v>
      </c>
      <c r="C52" s="26"/>
      <c r="D52" s="26"/>
      <c r="E52" s="26">
        <f t="shared" si="1"/>
        <v>0</v>
      </c>
      <c r="F52" s="101">
        <f t="shared" si="2"/>
        <v>0</v>
      </c>
      <c r="G52" s="26"/>
      <c r="H52" s="26"/>
      <c r="I52" s="26"/>
      <c r="J52" s="25"/>
      <c r="K52" s="26"/>
      <c r="L52" s="112"/>
      <c r="M52" s="113"/>
      <c r="N52" s="26"/>
      <c r="O52" s="26" t="str">
        <f>IFERROR(VLOOKUP(Tabela2[[#This Row],[Placa]],Tabela4[[PLACA ]:[MOTORISTA ]],2,0),"")</f>
        <v/>
      </c>
      <c r="P52" s="26"/>
    </row>
    <row r="53" spans="1:16" ht="49.5" customHeight="1" x14ac:dyDescent="0.35">
      <c r="A53" s="100">
        <f>COUNTIF(MATINAIS!$B$2:$C$19,ESCALA!E53)</f>
        <v>0</v>
      </c>
      <c r="B53" s="72">
        <f>COUNTIF(MATINAIS!$C$2:$C$18,ESCALA!F53)</f>
        <v>0</v>
      </c>
      <c r="C53" s="26"/>
      <c r="D53" s="26"/>
      <c r="E53" s="26">
        <f t="shared" si="1"/>
        <v>0</v>
      </c>
      <c r="F53" s="101">
        <f t="shared" si="2"/>
        <v>0</v>
      </c>
      <c r="G53" s="26"/>
      <c r="H53" s="26"/>
      <c r="I53" s="26"/>
      <c r="J53" s="25"/>
      <c r="K53" s="26"/>
      <c r="L53" s="112"/>
      <c r="M53" s="113"/>
      <c r="N53" s="26"/>
      <c r="O53" s="26" t="str">
        <f>IFERROR(VLOOKUP(Tabela2[[#This Row],[Placa]],Tabela4[[PLACA ]:[MOTORISTA ]],2,0),"")</f>
        <v/>
      </c>
      <c r="P53" s="26"/>
    </row>
    <row r="54" spans="1:16" ht="49.5" customHeight="1" x14ac:dyDescent="0.35">
      <c r="A54" s="100">
        <f>COUNTIF(MATINAIS!$B$2:$C$19,ESCALA!E54)</f>
        <v>0</v>
      </c>
      <c r="B54" s="72">
        <f>COUNTIF(MATINAIS!$C$2:$C$18,ESCALA!F54)</f>
        <v>0</v>
      </c>
      <c r="C54" s="26"/>
      <c r="D54" s="26"/>
      <c r="E54" s="26">
        <f t="shared" si="1"/>
        <v>0</v>
      </c>
      <c r="F54" s="101">
        <f t="shared" si="2"/>
        <v>0</v>
      </c>
      <c r="G54" s="26"/>
      <c r="H54" s="26"/>
      <c r="I54" s="26"/>
      <c r="J54" s="25"/>
      <c r="K54" s="26"/>
      <c r="L54" s="112"/>
      <c r="M54" s="113"/>
      <c r="N54" s="26"/>
      <c r="O54" s="26" t="str">
        <f>IFERROR(VLOOKUP(Tabela2[[#This Row],[Placa]],Tabela4[[PLACA ]:[MOTORISTA ]],2,0),"")</f>
        <v/>
      </c>
      <c r="P54" s="26"/>
    </row>
    <row r="55" spans="1:16" ht="49.5" customHeight="1" x14ac:dyDescent="0.35">
      <c r="A55" s="100">
        <f>COUNTIF(MATINAIS!$B$2:$C$19,ESCALA!E55)</f>
        <v>0</v>
      </c>
      <c r="B55" s="72">
        <f>COUNTIF(MATINAIS!$C$2:$C$18,ESCALA!F55)</f>
        <v>0</v>
      </c>
      <c r="C55" s="26"/>
      <c r="D55" s="26"/>
      <c r="E55" s="26">
        <f t="shared" si="1"/>
        <v>0</v>
      </c>
      <c r="F55" s="101">
        <f t="shared" si="2"/>
        <v>0</v>
      </c>
      <c r="G55" s="26"/>
      <c r="H55" s="26"/>
      <c r="I55" s="26"/>
      <c r="J55" s="25"/>
      <c r="K55" s="26"/>
      <c r="L55" s="112"/>
      <c r="M55" s="113"/>
      <c r="N55" s="26"/>
      <c r="O55" s="26" t="str">
        <f>IFERROR(VLOOKUP(Tabela2[[#This Row],[Placa]],Tabela4[[PLACA ]:[MOTORISTA ]],2,0),"")</f>
        <v/>
      </c>
      <c r="P55" s="26"/>
    </row>
    <row r="56" spans="1:16" ht="49.5" customHeight="1" x14ac:dyDescent="0.35">
      <c r="A56" s="100">
        <f>COUNTIF(MATINAIS!$B$2:$C$19,ESCALA!E56)</f>
        <v>0</v>
      </c>
      <c r="B56" s="72">
        <f>COUNTIF(MATINAIS!$C$2:$C$18,ESCALA!F56)</f>
        <v>0</v>
      </c>
      <c r="C56" s="26"/>
      <c r="D56" s="26"/>
      <c r="E56" s="26">
        <f t="shared" si="1"/>
        <v>0</v>
      </c>
      <c r="F56" s="101">
        <f t="shared" si="2"/>
        <v>0</v>
      </c>
      <c r="G56" s="26"/>
      <c r="H56" s="26"/>
      <c r="I56" s="26"/>
      <c r="J56" s="25"/>
      <c r="K56" s="26"/>
      <c r="L56" s="112"/>
      <c r="M56" s="113"/>
      <c r="N56" s="26"/>
      <c r="O56" s="26" t="str">
        <f>IFERROR(VLOOKUP(Tabela2[[#This Row],[Placa]],Tabela4[[PLACA ]:[MOTORISTA ]],2,0),"")</f>
        <v/>
      </c>
      <c r="P56" s="26"/>
    </row>
    <row r="57" spans="1:16" ht="49.5" customHeight="1" x14ac:dyDescent="0.35">
      <c r="A57" s="100">
        <f>COUNTIF(MATINAIS!$B$2:$C$19,ESCALA!E57)</f>
        <v>0</v>
      </c>
      <c r="B57" s="72">
        <f>COUNTIF(MATINAIS!$C$2:$C$18,ESCALA!F57)</f>
        <v>0</v>
      </c>
      <c r="C57" s="26"/>
      <c r="D57" s="26"/>
      <c r="E57" s="26">
        <f t="shared" si="1"/>
        <v>0</v>
      </c>
      <c r="F57" s="101">
        <f t="shared" si="2"/>
        <v>0</v>
      </c>
      <c r="G57" s="26"/>
      <c r="H57" s="26"/>
      <c r="I57" s="26"/>
      <c r="J57" s="25"/>
      <c r="K57" s="26"/>
      <c r="L57" s="112"/>
      <c r="M57" s="113"/>
      <c r="N57" s="26"/>
      <c r="O57" s="26" t="str">
        <f>IFERROR(VLOOKUP(Tabela2[[#This Row],[Placa]],Tabela4[[PLACA ]:[MOTORISTA ]],2,0),"")</f>
        <v/>
      </c>
      <c r="P57" s="26"/>
    </row>
    <row r="58" spans="1:16" ht="49.5" customHeight="1" x14ac:dyDescent="0.35">
      <c r="A58" s="100">
        <f>COUNTIF(MATINAIS!$B$2:$C$19,ESCALA!E58)</f>
        <v>0</v>
      </c>
      <c r="B58" s="72">
        <f>COUNTIF(MATINAIS!$C$2:$C$18,ESCALA!F58)</f>
        <v>0</v>
      </c>
      <c r="C58" s="26"/>
      <c r="D58" s="26"/>
      <c r="E58" s="26">
        <f t="shared" si="1"/>
        <v>0</v>
      </c>
      <c r="F58" s="101">
        <f t="shared" si="2"/>
        <v>0</v>
      </c>
      <c r="G58" s="26"/>
      <c r="H58" s="26"/>
      <c r="I58" s="26"/>
      <c r="J58" s="25"/>
      <c r="K58" s="26"/>
      <c r="L58" s="112"/>
      <c r="M58" s="113"/>
      <c r="N58" s="26"/>
      <c r="O58" s="26" t="str">
        <f>IFERROR(VLOOKUP(Tabela2[[#This Row],[Placa]],Tabela4[[PLACA ]:[MOTORISTA ]],2,0),"")</f>
        <v/>
      </c>
      <c r="P58" s="26"/>
    </row>
    <row r="59" spans="1:16" ht="49.5" customHeight="1" x14ac:dyDescent="0.35">
      <c r="A59" s="100">
        <f>COUNTIF(MATINAIS!$B$2:$C$19,ESCALA!E59)</f>
        <v>0</v>
      </c>
      <c r="B59" s="72">
        <f>COUNTIF(MATINAIS!$C$2:$C$18,ESCALA!F59)</f>
        <v>0</v>
      </c>
      <c r="C59" s="26"/>
      <c r="D59" s="26"/>
      <c r="E59" s="26">
        <f t="shared" si="1"/>
        <v>0</v>
      </c>
      <c r="F59" s="101">
        <f t="shared" si="2"/>
        <v>0</v>
      </c>
      <c r="G59" s="26"/>
      <c r="H59" s="26"/>
      <c r="I59" s="26"/>
      <c r="J59" s="25"/>
      <c r="K59" s="26"/>
      <c r="L59" s="112"/>
      <c r="M59" s="113"/>
      <c r="N59" s="26"/>
      <c r="O59" s="26" t="str">
        <f>IFERROR(VLOOKUP(Tabela2[[#This Row],[Placa]],Tabela4[[PLACA ]:[MOTORISTA ]],2,0),"")</f>
        <v/>
      </c>
      <c r="P59" s="26"/>
    </row>
    <row r="60" spans="1:16" ht="49.5" customHeight="1" x14ac:dyDescent="0.35">
      <c r="A60" s="100">
        <f>COUNTIF(MATINAIS!$B$2:$C$19,ESCALA!E60)</f>
        <v>0</v>
      </c>
      <c r="B60" s="72">
        <f>COUNTIF(MATINAIS!$C$2:$C$18,ESCALA!F60)</f>
        <v>0</v>
      </c>
      <c r="C60" s="26"/>
      <c r="D60" s="26"/>
      <c r="E60" s="26">
        <f t="shared" si="1"/>
        <v>0</v>
      </c>
      <c r="F60" s="101">
        <f t="shared" si="2"/>
        <v>0</v>
      </c>
      <c r="G60" s="26"/>
      <c r="H60" s="26"/>
      <c r="I60" s="26"/>
      <c r="J60" s="25"/>
      <c r="K60" s="26"/>
      <c r="L60" s="112"/>
      <c r="M60" s="113"/>
      <c r="N60" s="26"/>
      <c r="O60" s="26" t="str">
        <f>IFERROR(VLOOKUP(Tabela2[[#This Row],[Placa]],Tabela4[[PLACA ]:[MOTORISTA ]],2,0),"")</f>
        <v/>
      </c>
      <c r="P60" s="26"/>
    </row>
    <row r="61" spans="1:16" ht="49.5" customHeight="1" x14ac:dyDescent="0.35">
      <c r="A61" s="100">
        <f>COUNTIF(MATINAIS!$B$2:$C$19,ESCALA!E61)</f>
        <v>0</v>
      </c>
      <c r="B61" s="72">
        <f>COUNTIF(MATINAIS!$C$2:$C$18,ESCALA!F61)</f>
        <v>0</v>
      </c>
      <c r="C61" s="26"/>
      <c r="D61" s="26"/>
      <c r="E61" s="26">
        <f t="shared" si="1"/>
        <v>0</v>
      </c>
      <c r="F61" s="101">
        <f t="shared" si="2"/>
        <v>0</v>
      </c>
      <c r="G61" s="26"/>
      <c r="H61" s="26"/>
      <c r="I61" s="26"/>
      <c r="J61" s="25"/>
      <c r="K61" s="26"/>
      <c r="L61" s="112"/>
      <c r="M61" s="113"/>
      <c r="N61" s="26"/>
      <c r="O61" s="26" t="str">
        <f>IFERROR(VLOOKUP(Tabela2[[#This Row],[Placa]],Tabela4[[PLACA ]:[MOTORISTA ]],2,0),"")</f>
        <v/>
      </c>
      <c r="P61" s="26"/>
    </row>
    <row r="62" spans="1:16" ht="49.5" customHeight="1" x14ac:dyDescent="0.35">
      <c r="A62" s="100">
        <f>COUNTIF(MATINAIS!$B$2:$C$19,ESCALA!E62)</f>
        <v>0</v>
      </c>
      <c r="B62" s="72">
        <f>COUNTIF(MATINAIS!$C$2:$C$18,ESCALA!F62)</f>
        <v>0</v>
      </c>
      <c r="C62" s="26"/>
      <c r="D62" s="26"/>
      <c r="E62" s="26">
        <f t="shared" si="1"/>
        <v>0</v>
      </c>
      <c r="F62" s="101">
        <f t="shared" si="2"/>
        <v>0</v>
      </c>
      <c r="G62" s="26"/>
      <c r="H62" s="26"/>
      <c r="I62" s="26"/>
      <c r="J62" s="25"/>
      <c r="K62" s="26"/>
      <c r="L62" s="112"/>
      <c r="M62" s="113"/>
      <c r="N62" s="26"/>
      <c r="O62" s="26" t="str">
        <f>IFERROR(VLOOKUP(Tabela2[[#This Row],[Placa]],Tabela4[[PLACA ]:[MOTORISTA ]],2,0),"")</f>
        <v/>
      </c>
      <c r="P62" s="26"/>
    </row>
    <row r="63" spans="1:16" ht="49.5" customHeight="1" x14ac:dyDescent="0.35">
      <c r="A63" s="100">
        <f>COUNTIF(MATINAIS!$B$2:$C$19,ESCALA!E63)</f>
        <v>0</v>
      </c>
      <c r="B63" s="72">
        <f>COUNTIF(MATINAIS!$C$2:$C$18,ESCALA!F63)</f>
        <v>0</v>
      </c>
      <c r="C63" s="26"/>
      <c r="D63" s="26"/>
      <c r="E63" s="26">
        <f t="shared" si="1"/>
        <v>0</v>
      </c>
      <c r="F63" s="101">
        <f t="shared" si="2"/>
        <v>0</v>
      </c>
      <c r="G63" s="26"/>
      <c r="H63" s="26"/>
      <c r="I63" s="26"/>
      <c r="J63" s="25"/>
      <c r="K63" s="26"/>
      <c r="L63" s="112"/>
      <c r="M63" s="113"/>
      <c r="N63" s="26"/>
      <c r="O63" s="26" t="str">
        <f>IFERROR(VLOOKUP(Tabela2[[#This Row],[Placa]],Tabela4[[PLACA ]:[MOTORISTA ]],2,0),"")</f>
        <v/>
      </c>
      <c r="P63" s="26"/>
    </row>
    <row r="64" spans="1:16" ht="49.5" customHeight="1" x14ac:dyDescent="0.35">
      <c r="A64" s="100">
        <f>COUNTIF(MATINAIS!$B$2:$C$19,ESCALA!E64)</f>
        <v>0</v>
      </c>
      <c r="B64" s="72">
        <f>COUNTIF(MATINAIS!$C$2:$C$18,ESCALA!F64)</f>
        <v>0</v>
      </c>
      <c r="C64" s="26"/>
      <c r="D64" s="26"/>
      <c r="E64" s="26">
        <f t="shared" si="1"/>
        <v>0</v>
      </c>
      <c r="F64" s="101">
        <f t="shared" si="2"/>
        <v>0</v>
      </c>
      <c r="G64" s="26"/>
      <c r="H64" s="26"/>
      <c r="I64" s="26"/>
      <c r="J64" s="25"/>
      <c r="K64" s="26"/>
      <c r="L64" s="112"/>
      <c r="M64" s="113"/>
      <c r="N64" s="26"/>
      <c r="O64" s="26" t="str">
        <f>IFERROR(VLOOKUP(Tabela2[[#This Row],[Placa]],Tabela4[[PLACA ]:[MOTORISTA ]],2,0),"")</f>
        <v/>
      </c>
      <c r="P64" s="26"/>
    </row>
    <row r="65" spans="1:16" ht="49.5" customHeight="1" x14ac:dyDescent="0.35">
      <c r="A65" s="100">
        <f>COUNTIF(MATINAIS!$B$2:$C$19,ESCALA!E65)</f>
        <v>0</v>
      </c>
      <c r="B65" s="72">
        <f>COUNTIF(MATINAIS!$C$2:$C$18,ESCALA!F65)</f>
        <v>0</v>
      </c>
      <c r="C65" s="26"/>
      <c r="D65" s="26"/>
      <c r="E65" s="26">
        <f t="shared" si="1"/>
        <v>0</v>
      </c>
      <c r="F65" s="101">
        <f t="shared" si="2"/>
        <v>0</v>
      </c>
      <c r="G65" s="26"/>
      <c r="H65" s="26"/>
      <c r="I65" s="26"/>
      <c r="J65" s="25"/>
      <c r="K65" s="26"/>
      <c r="L65" s="112"/>
      <c r="M65" s="113"/>
      <c r="N65" s="26"/>
      <c r="O65" s="26" t="str">
        <f>IFERROR(VLOOKUP(Tabela2[[#This Row],[Placa]],Tabela4[[PLACA ]:[MOTORISTA ]],2,0),"")</f>
        <v/>
      </c>
      <c r="P65" s="26"/>
    </row>
    <row r="66" spans="1:16" ht="49.5" customHeight="1" x14ac:dyDescent="0.35">
      <c r="A66" s="100">
        <f>COUNTIF(MATINAIS!$B$2:$C$19,ESCALA!E66)</f>
        <v>0</v>
      </c>
      <c r="B66" s="72">
        <f>COUNTIF(MATINAIS!$C$2:$C$18,ESCALA!F66)</f>
        <v>0</v>
      </c>
      <c r="C66" s="26"/>
      <c r="D66" s="26"/>
      <c r="E66" s="26">
        <f t="shared" si="1"/>
        <v>0</v>
      </c>
      <c r="F66" s="101">
        <f t="shared" si="2"/>
        <v>0</v>
      </c>
      <c r="G66" s="26"/>
      <c r="H66" s="26"/>
      <c r="I66" s="26"/>
      <c r="J66" s="25"/>
      <c r="K66" s="26"/>
      <c r="L66" s="112"/>
      <c r="M66" s="113"/>
      <c r="N66" s="26"/>
      <c r="O66" s="26" t="str">
        <f>IFERROR(VLOOKUP(Tabela2[[#This Row],[Placa]],Tabela4[[PLACA ]:[MOTORISTA ]],2,0),"")</f>
        <v/>
      </c>
      <c r="P66" s="26"/>
    </row>
    <row r="67" spans="1:16" ht="49.5" customHeight="1" x14ac:dyDescent="0.35">
      <c r="A67" s="100">
        <f>COUNTIF(MATINAIS!$B$2:$C$19,ESCALA!E67)</f>
        <v>0</v>
      </c>
      <c r="B67" s="72">
        <f>COUNTIF(MATINAIS!$C$2:$C$18,ESCALA!F67)</f>
        <v>0</v>
      </c>
      <c r="C67" s="26"/>
      <c r="D67" s="26"/>
      <c r="E67" s="26">
        <f t="shared" si="1"/>
        <v>0</v>
      </c>
      <c r="F67" s="101">
        <f t="shared" si="2"/>
        <v>0</v>
      </c>
      <c r="G67" s="26"/>
      <c r="H67" s="26"/>
      <c r="I67" s="26"/>
      <c r="J67" s="25"/>
      <c r="K67" s="26"/>
      <c r="L67" s="112"/>
      <c r="M67" s="113"/>
      <c r="N67" s="26"/>
      <c r="O67" s="26" t="str">
        <f>IFERROR(VLOOKUP(Tabela2[[#This Row],[Placa]],Tabela4[[PLACA ]:[MOTORISTA ]],2,0),"")</f>
        <v/>
      </c>
      <c r="P67" s="26"/>
    </row>
    <row r="68" spans="1:16" ht="49.5" customHeight="1" x14ac:dyDescent="0.35">
      <c r="A68" s="100">
        <f>COUNTIF(MATINAIS!$B$2:$C$19,ESCALA!E68)</f>
        <v>0</v>
      </c>
      <c r="B68" s="72">
        <f>COUNTIF(MATINAIS!$C$2:$C$18,ESCALA!F68)</f>
        <v>0</v>
      </c>
      <c r="C68" s="26"/>
      <c r="D68" s="26"/>
      <c r="E68" s="26">
        <f t="shared" si="1"/>
        <v>0</v>
      </c>
      <c r="F68" s="101">
        <f t="shared" si="2"/>
        <v>0</v>
      </c>
      <c r="G68" s="26"/>
      <c r="H68" s="26"/>
      <c r="I68" s="26"/>
      <c r="J68" s="25"/>
      <c r="K68" s="26"/>
      <c r="L68" s="112"/>
      <c r="M68" s="113"/>
      <c r="N68" s="26"/>
      <c r="O68" s="26" t="str">
        <f>IFERROR(VLOOKUP(Tabela2[[#This Row],[Placa]],Tabela4[[PLACA ]:[MOTORISTA ]],2,0),"")</f>
        <v/>
      </c>
      <c r="P68" s="26"/>
    </row>
    <row r="69" spans="1:16" ht="49.5" customHeight="1" x14ac:dyDescent="0.35">
      <c r="A69" s="100">
        <f>COUNTIF(MATINAIS!$B$2:$C$19,ESCALA!E69)</f>
        <v>0</v>
      </c>
      <c r="B69" s="72">
        <f>COUNTIF(MATINAIS!$C$2:$C$18,ESCALA!F69)</f>
        <v>0</v>
      </c>
      <c r="C69" s="26"/>
      <c r="D69" s="26"/>
      <c r="E69" s="26">
        <f t="shared" si="1"/>
        <v>0</v>
      </c>
      <c r="F69" s="101">
        <f t="shared" si="2"/>
        <v>0</v>
      </c>
      <c r="G69" s="26"/>
      <c r="H69" s="26"/>
      <c r="I69" s="26"/>
      <c r="J69" s="25"/>
      <c r="K69" s="26"/>
      <c r="L69" s="112"/>
      <c r="M69" s="113"/>
      <c r="N69" s="26"/>
      <c r="O69" s="26" t="str">
        <f>IFERROR(VLOOKUP(Tabela2[[#This Row],[Placa]],Tabela4[[PLACA ]:[MOTORISTA ]],2,0),"")</f>
        <v/>
      </c>
      <c r="P69" s="26"/>
    </row>
    <row r="70" spans="1:16" ht="49.5" customHeight="1" x14ac:dyDescent="0.35">
      <c r="A70" s="100">
        <f>COUNTIF(MATINAIS!$B$2:$C$19,ESCALA!E70)</f>
        <v>0</v>
      </c>
      <c r="B70" s="72">
        <f>COUNTIF(MATINAIS!$C$2:$C$18,ESCALA!F70)</f>
        <v>0</v>
      </c>
      <c r="C70" s="26"/>
      <c r="D70" s="26"/>
      <c r="E70" s="26">
        <f t="shared" si="1"/>
        <v>0</v>
      </c>
      <c r="F70" s="101">
        <f t="shared" si="2"/>
        <v>0</v>
      </c>
      <c r="G70" s="26"/>
      <c r="H70" s="26"/>
      <c r="I70" s="26"/>
      <c r="J70" s="25"/>
      <c r="K70" s="26"/>
      <c r="L70" s="112"/>
      <c r="M70" s="113"/>
      <c r="N70" s="26"/>
      <c r="O70" s="26" t="str">
        <f>IFERROR(VLOOKUP(Tabela2[[#This Row],[Placa]],Tabela4[[PLACA ]:[MOTORISTA ]],2,0),"")</f>
        <v/>
      </c>
      <c r="P70" s="26"/>
    </row>
    <row r="71" spans="1:16" ht="49.5" customHeight="1" x14ac:dyDescent="0.35">
      <c r="A71" s="100">
        <f>COUNTIF(MATINAIS!$B$2:$C$19,ESCALA!E71)</f>
        <v>0</v>
      </c>
      <c r="B71" s="72">
        <f>COUNTIF(MATINAIS!$C$2:$C$18,ESCALA!F71)</f>
        <v>0</v>
      </c>
      <c r="C71" s="26"/>
      <c r="D71" s="26"/>
      <c r="E71" s="26">
        <f t="shared" ref="E71:E107" si="3">IFERROR(VLOOKUP(C71,$AG:$AI,2,FALSE),)</f>
        <v>0</v>
      </c>
      <c r="F71" s="101">
        <f t="shared" si="2"/>
        <v>0</v>
      </c>
      <c r="G71" s="26"/>
      <c r="H71" s="26"/>
      <c r="I71" s="26"/>
      <c r="J71" s="25"/>
      <c r="K71" s="26"/>
      <c r="L71" s="112"/>
      <c r="M71" s="113"/>
      <c r="N71" s="26"/>
      <c r="O71" s="26" t="str">
        <f>IFERROR(VLOOKUP(Tabela2[[#This Row],[Placa]],Tabela4[[PLACA ]:[MOTORISTA ]],2,0),"")</f>
        <v/>
      </c>
      <c r="P71" s="26"/>
    </row>
    <row r="72" spans="1:16" ht="49.5" customHeight="1" x14ac:dyDescent="0.35">
      <c r="A72" s="100">
        <f>COUNTIF(MATINAIS!$B$2:$C$19,ESCALA!E72)</f>
        <v>0</v>
      </c>
      <c r="B72" s="72">
        <f>COUNTIF(MATINAIS!$C$2:$C$18,ESCALA!F72)</f>
        <v>0</v>
      </c>
      <c r="C72" s="26"/>
      <c r="D72" s="26"/>
      <c r="E72" s="26">
        <f t="shared" si="3"/>
        <v>0</v>
      </c>
      <c r="F72" s="101">
        <f t="shared" ref="F72:F107" si="4">IFERROR(VLOOKUP(C72,$AG:$AI,3,FALSE),)</f>
        <v>0</v>
      </c>
      <c r="G72" s="26"/>
      <c r="H72" s="26"/>
      <c r="I72" s="26"/>
      <c r="J72" s="25"/>
      <c r="K72" s="26"/>
      <c r="L72" s="112"/>
      <c r="M72" s="113"/>
      <c r="N72" s="26"/>
      <c r="O72" s="26" t="str">
        <f>IFERROR(VLOOKUP(Tabela2[[#This Row],[Placa]],Tabela4[[PLACA ]:[MOTORISTA ]],2,0),"")</f>
        <v/>
      </c>
      <c r="P72" s="26"/>
    </row>
    <row r="73" spans="1:16" ht="49.5" customHeight="1" x14ac:dyDescent="0.35">
      <c r="A73" s="100">
        <f>COUNTIF(MATINAIS!$B$2:$C$19,ESCALA!E73)</f>
        <v>0</v>
      </c>
      <c r="B73" s="72">
        <f>COUNTIF(MATINAIS!$C$2:$C$18,ESCALA!F73)</f>
        <v>0</v>
      </c>
      <c r="C73" s="26"/>
      <c r="D73" s="26"/>
      <c r="E73" s="26">
        <f t="shared" si="3"/>
        <v>0</v>
      </c>
      <c r="F73" s="101">
        <f t="shared" si="4"/>
        <v>0</v>
      </c>
      <c r="G73" s="26"/>
      <c r="H73" s="26"/>
      <c r="I73" s="26"/>
      <c r="J73" s="25"/>
      <c r="K73" s="26"/>
      <c r="L73" s="112"/>
      <c r="M73" s="113"/>
      <c r="N73" s="26"/>
      <c r="O73" s="26" t="str">
        <f>IFERROR(VLOOKUP(Tabela2[[#This Row],[Placa]],Tabela4[[PLACA ]:[MOTORISTA ]],2,0),"")</f>
        <v/>
      </c>
      <c r="P73" s="26"/>
    </row>
    <row r="74" spans="1:16" ht="49.5" customHeight="1" x14ac:dyDescent="0.35">
      <c r="A74" s="100">
        <f>COUNTIF(MATINAIS!$B$2:$C$19,ESCALA!E74)</f>
        <v>0</v>
      </c>
      <c r="B74" s="72">
        <f>COUNTIF(MATINAIS!$C$2:$C$18,ESCALA!F74)</f>
        <v>0</v>
      </c>
      <c r="C74" s="26"/>
      <c r="D74" s="26"/>
      <c r="E74" s="26">
        <f t="shared" si="3"/>
        <v>0</v>
      </c>
      <c r="F74" s="101">
        <f t="shared" si="4"/>
        <v>0</v>
      </c>
      <c r="G74" s="26"/>
      <c r="H74" s="26"/>
      <c r="I74" s="26"/>
      <c r="J74" s="25"/>
      <c r="K74" s="26"/>
      <c r="L74" s="112"/>
      <c r="M74" s="113"/>
      <c r="N74" s="26"/>
      <c r="O74" s="26" t="str">
        <f>IFERROR(VLOOKUP(Tabela2[[#This Row],[Placa]],Tabela4[[PLACA ]:[MOTORISTA ]],2,0),"")</f>
        <v/>
      </c>
      <c r="P74" s="26"/>
    </row>
    <row r="75" spans="1:16" ht="49.5" customHeight="1" x14ac:dyDescent="0.35">
      <c r="A75" s="100">
        <f>COUNTIF(MATINAIS!$B$2:$C$19,ESCALA!E75)</f>
        <v>0</v>
      </c>
      <c r="B75" s="72">
        <f>COUNTIF(MATINAIS!$C$2:$C$18,ESCALA!F75)</f>
        <v>0</v>
      </c>
      <c r="C75" s="26"/>
      <c r="D75" s="26"/>
      <c r="E75" s="26">
        <f t="shared" si="3"/>
        <v>0</v>
      </c>
      <c r="F75" s="101">
        <f t="shared" si="4"/>
        <v>0</v>
      </c>
      <c r="G75" s="26"/>
      <c r="H75" s="26"/>
      <c r="I75" s="26"/>
      <c r="J75" s="25"/>
      <c r="K75" s="26"/>
      <c r="L75" s="112"/>
      <c r="M75" s="113"/>
      <c r="N75" s="26"/>
      <c r="O75" s="26" t="str">
        <f>IFERROR(VLOOKUP(Tabela2[[#This Row],[Placa]],Tabela4[[PLACA ]:[MOTORISTA ]],2,0),"")</f>
        <v/>
      </c>
      <c r="P75" s="26"/>
    </row>
    <row r="76" spans="1:16" ht="49.5" customHeight="1" x14ac:dyDescent="0.35">
      <c r="A76" s="100">
        <f>COUNTIF(MATINAIS!$B$2:$C$19,ESCALA!E76)</f>
        <v>0</v>
      </c>
      <c r="B76" s="72">
        <f>COUNTIF(MATINAIS!$C$2:$C$18,ESCALA!F76)</f>
        <v>0</v>
      </c>
      <c r="C76" s="26"/>
      <c r="D76" s="26"/>
      <c r="E76" s="26">
        <f t="shared" si="3"/>
        <v>0</v>
      </c>
      <c r="F76" s="101">
        <f t="shared" si="4"/>
        <v>0</v>
      </c>
      <c r="G76" s="26"/>
      <c r="H76" s="26"/>
      <c r="I76" s="26"/>
      <c r="J76" s="25"/>
      <c r="K76" s="26"/>
      <c r="L76" s="112"/>
      <c r="M76" s="113"/>
      <c r="N76" s="26"/>
      <c r="O76" s="26" t="str">
        <f>IFERROR(VLOOKUP(Tabela2[[#This Row],[Placa]],Tabela4[[PLACA ]:[MOTORISTA ]],2,0),"")</f>
        <v/>
      </c>
      <c r="P76" s="26"/>
    </row>
    <row r="77" spans="1:16" ht="49.5" customHeight="1" x14ac:dyDescent="0.35">
      <c r="A77" s="100">
        <f>COUNTIF(MATINAIS!$B$2:$C$19,ESCALA!E77)</f>
        <v>0</v>
      </c>
      <c r="B77" s="72">
        <f>COUNTIF(MATINAIS!$C$2:$C$18,ESCALA!F77)</f>
        <v>0</v>
      </c>
      <c r="C77" s="26"/>
      <c r="D77" s="26"/>
      <c r="E77" s="26">
        <f t="shared" si="3"/>
        <v>0</v>
      </c>
      <c r="F77" s="101">
        <f t="shared" si="4"/>
        <v>0</v>
      </c>
      <c r="G77" s="26"/>
      <c r="H77" s="26"/>
      <c r="I77" s="26"/>
      <c r="J77" s="25"/>
      <c r="K77" s="26"/>
      <c r="L77" s="112"/>
      <c r="M77" s="113"/>
      <c r="N77" s="26"/>
      <c r="O77" s="26" t="str">
        <f>IFERROR(VLOOKUP(Tabela2[[#This Row],[Placa]],Tabela4[[PLACA ]:[MOTORISTA ]],2,0),"")</f>
        <v/>
      </c>
      <c r="P77" s="26"/>
    </row>
    <row r="78" spans="1:16" ht="49.5" customHeight="1" x14ac:dyDescent="0.35">
      <c r="A78" s="100">
        <f>COUNTIF(MATINAIS!$B$2:$C$19,ESCALA!E78)</f>
        <v>0</v>
      </c>
      <c r="B78" s="72">
        <f>COUNTIF(MATINAIS!$C$2:$C$18,ESCALA!F78)</f>
        <v>0</v>
      </c>
      <c r="C78" s="26"/>
      <c r="D78" s="26"/>
      <c r="E78" s="26">
        <f t="shared" si="3"/>
        <v>0</v>
      </c>
      <c r="F78" s="101">
        <f t="shared" si="4"/>
        <v>0</v>
      </c>
      <c r="G78" s="26"/>
      <c r="H78" s="26"/>
      <c r="I78" s="26"/>
      <c r="J78" s="25"/>
      <c r="K78" s="26"/>
      <c r="L78" s="112"/>
      <c r="M78" s="113"/>
      <c r="N78" s="26"/>
      <c r="O78" s="26" t="str">
        <f>IFERROR(VLOOKUP(Tabela2[[#This Row],[Placa]],Tabela4[[PLACA ]:[MOTORISTA ]],2,0),"")</f>
        <v/>
      </c>
      <c r="P78" s="26"/>
    </row>
    <row r="79" spans="1:16" ht="49.5" customHeight="1" x14ac:dyDescent="0.35">
      <c r="A79" s="100">
        <f>COUNTIF(MATINAIS!$B$2:$C$19,ESCALA!E79)</f>
        <v>0</v>
      </c>
      <c r="B79" s="72">
        <f>COUNTIF(MATINAIS!$C$2:$C$18,ESCALA!F79)</f>
        <v>0</v>
      </c>
      <c r="C79" s="26"/>
      <c r="D79" s="26"/>
      <c r="E79" s="26">
        <f t="shared" si="3"/>
        <v>0</v>
      </c>
      <c r="F79" s="101">
        <f t="shared" si="4"/>
        <v>0</v>
      </c>
      <c r="G79" s="26"/>
      <c r="H79" s="26"/>
      <c r="I79" s="26"/>
      <c r="J79" s="25"/>
      <c r="K79" s="26"/>
      <c r="L79" s="112"/>
      <c r="M79" s="113"/>
      <c r="N79" s="26"/>
      <c r="O79" s="26" t="str">
        <f>IFERROR(VLOOKUP(Tabela2[[#This Row],[Placa]],Tabela4[[PLACA ]:[MOTORISTA ]],2,0),"")</f>
        <v/>
      </c>
      <c r="P79" s="26"/>
    </row>
    <row r="80" spans="1:16" ht="49.5" customHeight="1" x14ac:dyDescent="0.35">
      <c r="A80" s="100">
        <f>COUNTIF(MATINAIS!$B$2:$C$19,ESCALA!E80)</f>
        <v>0</v>
      </c>
      <c r="B80" s="72">
        <f>COUNTIF(MATINAIS!$C$2:$C$18,ESCALA!F80)</f>
        <v>0</v>
      </c>
      <c r="C80" s="26"/>
      <c r="D80" s="26"/>
      <c r="E80" s="26">
        <f t="shared" si="3"/>
        <v>0</v>
      </c>
      <c r="F80" s="101">
        <f t="shared" si="4"/>
        <v>0</v>
      </c>
      <c r="G80" s="26"/>
      <c r="H80" s="26"/>
      <c r="I80" s="26"/>
      <c r="J80" s="25"/>
      <c r="K80" s="26"/>
      <c r="L80" s="112"/>
      <c r="M80" s="113"/>
      <c r="N80" s="26"/>
      <c r="O80" s="26" t="str">
        <f>IFERROR(VLOOKUP(Tabela2[[#This Row],[Placa]],Tabela4[[PLACA ]:[MOTORISTA ]],2,0),"")</f>
        <v/>
      </c>
      <c r="P80" s="26"/>
    </row>
    <row r="81" spans="1:16" ht="49.5" customHeight="1" x14ac:dyDescent="0.35">
      <c r="A81" s="100">
        <f>COUNTIF(MATINAIS!$B$2:$C$19,ESCALA!E81)</f>
        <v>0</v>
      </c>
      <c r="B81" s="72">
        <f>COUNTIF(MATINAIS!$C$2:$C$18,ESCALA!F81)</f>
        <v>0</v>
      </c>
      <c r="C81" s="26"/>
      <c r="D81" s="26"/>
      <c r="E81" s="26">
        <f t="shared" si="3"/>
        <v>0</v>
      </c>
      <c r="F81" s="101">
        <f t="shared" si="4"/>
        <v>0</v>
      </c>
      <c r="G81" s="26"/>
      <c r="H81" s="26"/>
      <c r="I81" s="26"/>
      <c r="J81" s="25"/>
      <c r="K81" s="26"/>
      <c r="L81" s="112"/>
      <c r="M81" s="113"/>
      <c r="N81" s="26"/>
      <c r="O81" s="26" t="str">
        <f>IFERROR(VLOOKUP(Tabela2[[#This Row],[Placa]],Tabela4[[PLACA ]:[MOTORISTA ]],2,0),"")</f>
        <v/>
      </c>
      <c r="P81" s="26"/>
    </row>
    <row r="82" spans="1:16" ht="49.5" customHeight="1" x14ac:dyDescent="0.35">
      <c r="A82" s="100">
        <f>COUNTIF(MATINAIS!$B$2:$C$19,ESCALA!E82)</f>
        <v>0</v>
      </c>
      <c r="B82" s="72">
        <f>COUNTIF(MATINAIS!$C$2:$C$18,ESCALA!F82)</f>
        <v>0</v>
      </c>
      <c r="C82" s="26"/>
      <c r="D82" s="26"/>
      <c r="E82" s="26">
        <f t="shared" si="3"/>
        <v>0</v>
      </c>
      <c r="F82" s="101">
        <f t="shared" si="4"/>
        <v>0</v>
      </c>
      <c r="G82" s="26"/>
      <c r="H82" s="26"/>
      <c r="I82" s="26"/>
      <c r="J82" s="25"/>
      <c r="K82" s="26"/>
      <c r="L82" s="112"/>
      <c r="M82" s="113"/>
      <c r="N82" s="26"/>
      <c r="O82" s="26" t="str">
        <f>IFERROR(VLOOKUP(Tabela2[[#This Row],[Placa]],Tabela4[[PLACA ]:[MOTORISTA ]],2,0),"")</f>
        <v/>
      </c>
      <c r="P82" s="26"/>
    </row>
    <row r="83" spans="1:16" ht="49.5" customHeight="1" x14ac:dyDescent="0.35">
      <c r="A83" s="100">
        <f>COUNTIF(MATINAIS!$B$2:$C$19,ESCALA!E83)</f>
        <v>0</v>
      </c>
      <c r="B83" s="72">
        <f>COUNTIF(MATINAIS!$C$2:$C$18,ESCALA!F83)</f>
        <v>0</v>
      </c>
      <c r="C83" s="26"/>
      <c r="D83" s="26"/>
      <c r="E83" s="26">
        <f t="shared" si="3"/>
        <v>0</v>
      </c>
      <c r="F83" s="101">
        <f t="shared" si="4"/>
        <v>0</v>
      </c>
      <c r="G83" s="26"/>
      <c r="H83" s="26"/>
      <c r="I83" s="26"/>
      <c r="J83" s="25"/>
      <c r="K83" s="26"/>
      <c r="L83" s="112"/>
      <c r="M83" s="113"/>
      <c r="N83" s="26"/>
      <c r="O83" s="26" t="str">
        <f>IFERROR(VLOOKUP(Tabela2[[#This Row],[Placa]],Tabela4[[PLACA ]:[MOTORISTA ]],2,0),"")</f>
        <v/>
      </c>
      <c r="P83" s="26"/>
    </row>
    <row r="84" spans="1:16" ht="49.5" customHeight="1" x14ac:dyDescent="0.35">
      <c r="A84" s="100">
        <f>COUNTIF(MATINAIS!$B$2:$C$19,ESCALA!E84)</f>
        <v>0</v>
      </c>
      <c r="B84" s="72">
        <f>COUNTIF(MATINAIS!$C$2:$C$18,ESCALA!F84)</f>
        <v>0</v>
      </c>
      <c r="C84" s="26"/>
      <c r="D84" s="26"/>
      <c r="E84" s="26">
        <f t="shared" si="3"/>
        <v>0</v>
      </c>
      <c r="F84" s="101">
        <f t="shared" si="4"/>
        <v>0</v>
      </c>
      <c r="G84" s="26"/>
      <c r="H84" s="26"/>
      <c r="I84" s="26"/>
      <c r="J84" s="25"/>
      <c r="K84" s="26"/>
      <c r="L84" s="112"/>
      <c r="M84" s="113"/>
      <c r="N84" s="26"/>
      <c r="O84" s="26" t="str">
        <f>IFERROR(VLOOKUP(Tabela2[[#This Row],[Placa]],Tabela4[[PLACA ]:[MOTORISTA ]],2,0),"")</f>
        <v/>
      </c>
      <c r="P84" s="26"/>
    </row>
    <row r="85" spans="1:16" ht="49.5" customHeight="1" x14ac:dyDescent="0.35">
      <c r="A85" s="100">
        <f>COUNTIF(MATINAIS!$B$2:$C$19,ESCALA!E85)</f>
        <v>0</v>
      </c>
      <c r="B85" s="72">
        <f>COUNTIF(MATINAIS!$C$2:$C$18,ESCALA!F85)</f>
        <v>0</v>
      </c>
      <c r="C85" s="26"/>
      <c r="D85" s="26"/>
      <c r="E85" s="26">
        <f t="shared" si="3"/>
        <v>0</v>
      </c>
      <c r="F85" s="101">
        <f t="shared" si="4"/>
        <v>0</v>
      </c>
      <c r="G85" s="26"/>
      <c r="H85" s="26"/>
      <c r="I85" s="26"/>
      <c r="J85" s="25"/>
      <c r="K85" s="26"/>
      <c r="L85" s="112"/>
      <c r="M85" s="113"/>
      <c r="N85" s="26"/>
      <c r="O85" s="26" t="str">
        <f>IFERROR(VLOOKUP(Tabela2[[#This Row],[Placa]],Tabela4[[PLACA ]:[MOTORISTA ]],2,0),"")</f>
        <v/>
      </c>
      <c r="P85" s="26"/>
    </row>
    <row r="86" spans="1:16" ht="49.5" customHeight="1" x14ac:dyDescent="0.35">
      <c r="A86" s="100">
        <f>COUNTIF(MATINAIS!$B$2:$C$19,ESCALA!E86)</f>
        <v>0</v>
      </c>
      <c r="B86" s="72">
        <f>COUNTIF(MATINAIS!$C$2:$C$18,ESCALA!F86)</f>
        <v>0</v>
      </c>
      <c r="C86" s="26"/>
      <c r="D86" s="26"/>
      <c r="E86" s="108">
        <f t="shared" si="3"/>
        <v>0</v>
      </c>
      <c r="F86" s="108">
        <f t="shared" si="4"/>
        <v>0</v>
      </c>
      <c r="G86" s="26"/>
      <c r="H86" s="26"/>
      <c r="I86" s="26"/>
      <c r="J86" s="25"/>
      <c r="K86" s="26"/>
      <c r="L86" s="112"/>
      <c r="M86" s="113"/>
      <c r="N86" s="26"/>
      <c r="O86" s="26" t="str">
        <f>IFERROR(VLOOKUP(Tabela2[[#This Row],[Placa]],Tabela4[[PLACA ]:[MOTORISTA ]],2,0),"")</f>
        <v/>
      </c>
      <c r="P86" s="26"/>
    </row>
    <row r="87" spans="1:16" ht="49.5" customHeight="1" x14ac:dyDescent="0.35">
      <c r="A87" s="100">
        <f>COUNTIF(MATINAIS!$B$2:$C$19,ESCALA!E87)</f>
        <v>0</v>
      </c>
      <c r="B87" s="72">
        <f>COUNTIF(MATINAIS!$C$2:$C$18,ESCALA!F87)</f>
        <v>0</v>
      </c>
      <c r="C87" s="26"/>
      <c r="D87" s="26"/>
      <c r="E87" s="108">
        <f t="shared" si="3"/>
        <v>0</v>
      </c>
      <c r="F87" s="108">
        <f t="shared" si="4"/>
        <v>0</v>
      </c>
      <c r="G87" s="26"/>
      <c r="H87" s="26"/>
      <c r="I87" s="26"/>
      <c r="J87" s="25"/>
      <c r="K87" s="26"/>
      <c r="L87" s="112"/>
      <c r="M87" s="113"/>
      <c r="N87" s="26"/>
      <c r="O87" s="26" t="str">
        <f>IFERROR(VLOOKUP(Tabela2[[#This Row],[Placa]],Tabela4[[PLACA ]:[MOTORISTA ]],2,0),"")</f>
        <v/>
      </c>
      <c r="P87" s="26"/>
    </row>
    <row r="88" spans="1:16" ht="49.5" customHeight="1" x14ac:dyDescent="0.35">
      <c r="A88" s="100">
        <f>COUNTIF(MATINAIS!$B$2:$C$19,ESCALA!E88)</f>
        <v>0</v>
      </c>
      <c r="B88" s="72">
        <f>COUNTIF(MATINAIS!$C$2:$C$18,ESCALA!F88)</f>
        <v>0</v>
      </c>
      <c r="C88" s="26"/>
      <c r="D88" s="26"/>
      <c r="E88" s="108">
        <f t="shared" si="3"/>
        <v>0</v>
      </c>
      <c r="F88" s="108">
        <f t="shared" si="4"/>
        <v>0</v>
      </c>
      <c r="G88" s="26"/>
      <c r="H88" s="26"/>
      <c r="I88" s="26"/>
      <c r="J88" s="25"/>
      <c r="K88" s="26"/>
      <c r="L88" s="112"/>
      <c r="M88" s="113"/>
      <c r="N88" s="26"/>
      <c r="O88" s="26" t="str">
        <f>IFERROR(VLOOKUP(Tabela2[[#This Row],[Placa]],Tabela4[[PLACA ]:[MOTORISTA ]],2,0),"")</f>
        <v/>
      </c>
      <c r="P88" s="26"/>
    </row>
    <row r="89" spans="1:16" ht="49.5" customHeight="1" x14ac:dyDescent="0.35">
      <c r="A89" s="100">
        <f>COUNTIF(MATINAIS!$B$2:$C$19,ESCALA!E89)</f>
        <v>0</v>
      </c>
      <c r="B89" s="72">
        <f>COUNTIF(MATINAIS!$C$2:$C$18,ESCALA!F89)</f>
        <v>0</v>
      </c>
      <c r="C89" s="26"/>
      <c r="D89" s="26"/>
      <c r="E89" s="108">
        <f t="shared" si="3"/>
        <v>0</v>
      </c>
      <c r="F89" s="108">
        <f t="shared" si="4"/>
        <v>0</v>
      </c>
      <c r="G89" s="101"/>
      <c r="H89" s="26"/>
      <c r="I89" s="26"/>
      <c r="J89" s="25"/>
      <c r="K89" s="26"/>
      <c r="L89" s="112"/>
      <c r="M89" s="113"/>
      <c r="N89" s="26"/>
      <c r="O89" s="26" t="str">
        <f>IFERROR(VLOOKUP(Tabela2[[#This Row],[Placa]],Tabela4[[PLACA ]:[MOTORISTA ]],2,0),"")</f>
        <v/>
      </c>
      <c r="P89" s="26"/>
    </row>
    <row r="90" spans="1:16" ht="49.5" customHeight="1" x14ac:dyDescent="0.35">
      <c r="A90" s="100">
        <f>COUNTIF(MATINAIS!$B$2:$C$19,ESCALA!E90)</f>
        <v>0</v>
      </c>
      <c r="B90" s="72">
        <f>COUNTIF(MATINAIS!$C$2:$C$18,ESCALA!F90)</f>
        <v>0</v>
      </c>
      <c r="C90" s="26"/>
      <c r="D90" s="26"/>
      <c r="E90" s="26">
        <f t="shared" si="3"/>
        <v>0</v>
      </c>
      <c r="F90" s="101">
        <f t="shared" si="4"/>
        <v>0</v>
      </c>
      <c r="G90" s="26"/>
      <c r="H90" s="26"/>
      <c r="I90" s="26"/>
      <c r="J90" s="25"/>
      <c r="K90" s="26"/>
      <c r="L90" s="112"/>
      <c r="M90" s="113"/>
      <c r="N90" s="26"/>
      <c r="O90" s="26" t="str">
        <f>IFERROR(VLOOKUP(Tabela2[[#This Row],[Placa]],Tabela4[[PLACA ]:[MOTORISTA ]],2,0),"")</f>
        <v/>
      </c>
      <c r="P90" s="26"/>
    </row>
    <row r="91" spans="1:16" ht="49.5" customHeight="1" x14ac:dyDescent="0.35">
      <c r="A91" s="100">
        <f>COUNTIF(MATINAIS!$B$2:$C$19,ESCALA!E91)</f>
        <v>0</v>
      </c>
      <c r="B91" s="72">
        <f>COUNTIF(MATINAIS!$C$2:$C$18,ESCALA!F91)</f>
        <v>0</v>
      </c>
      <c r="C91" s="26"/>
      <c r="D91" s="26"/>
      <c r="E91" s="26">
        <f t="shared" si="3"/>
        <v>0</v>
      </c>
      <c r="F91" s="101">
        <f t="shared" si="4"/>
        <v>0</v>
      </c>
      <c r="G91" s="26"/>
      <c r="H91" s="26"/>
      <c r="I91" s="26"/>
      <c r="J91" s="25"/>
      <c r="K91" s="26"/>
      <c r="L91" s="112"/>
      <c r="M91" s="113"/>
      <c r="N91" s="26"/>
      <c r="O91" s="26" t="str">
        <f>IFERROR(VLOOKUP(Tabela2[[#This Row],[Placa]],Tabela4[[PLACA ]:[MOTORISTA ]],2,0),"")</f>
        <v/>
      </c>
      <c r="P91" s="26"/>
    </row>
    <row r="92" spans="1:16" ht="49.5" customHeight="1" x14ac:dyDescent="0.35">
      <c r="A92" s="100">
        <f>COUNTIF(MATINAIS!$B$2:$C$19,ESCALA!E92)</f>
        <v>0</v>
      </c>
      <c r="B92" s="72">
        <f>COUNTIF(MATINAIS!$C$2:$C$18,ESCALA!F92)</f>
        <v>0</v>
      </c>
      <c r="C92" s="26"/>
      <c r="D92" s="26"/>
      <c r="E92" s="26">
        <f t="shared" si="3"/>
        <v>0</v>
      </c>
      <c r="F92" s="101">
        <f t="shared" si="4"/>
        <v>0</v>
      </c>
      <c r="G92" s="26"/>
      <c r="H92" s="26"/>
      <c r="I92" s="26"/>
      <c r="J92" s="25"/>
      <c r="K92" s="26"/>
      <c r="L92" s="112"/>
      <c r="M92" s="113"/>
      <c r="N92" s="26"/>
      <c r="O92" s="26" t="str">
        <f>IFERROR(VLOOKUP(Tabela2[[#This Row],[Placa]],Tabela4[[PLACA ]:[MOTORISTA ]],2,0),"")</f>
        <v/>
      </c>
      <c r="P92" s="26"/>
    </row>
    <row r="93" spans="1:16" ht="49.5" customHeight="1" x14ac:dyDescent="0.35">
      <c r="A93" s="100">
        <f>COUNTIF(MATINAIS!$B$2:$C$19,ESCALA!E93)</f>
        <v>0</v>
      </c>
      <c r="B93" s="72">
        <f>COUNTIF(MATINAIS!$C$2:$C$18,ESCALA!F93)</f>
        <v>0</v>
      </c>
      <c r="C93" s="26"/>
      <c r="D93" s="26"/>
      <c r="E93" s="26">
        <f t="shared" si="3"/>
        <v>0</v>
      </c>
      <c r="F93" s="101">
        <f t="shared" si="4"/>
        <v>0</v>
      </c>
      <c r="G93" s="26"/>
      <c r="H93" s="26"/>
      <c r="I93" s="26"/>
      <c r="J93" s="25"/>
      <c r="K93" s="26"/>
      <c r="L93" s="112"/>
      <c r="M93" s="113"/>
      <c r="N93" s="26"/>
      <c r="O93" s="26" t="str">
        <f>IFERROR(VLOOKUP(Tabela2[[#This Row],[Placa]],Tabela4[[PLACA ]:[MOTORISTA ]],2,0),"")</f>
        <v/>
      </c>
      <c r="P93" s="26"/>
    </row>
    <row r="94" spans="1:16" ht="49.5" customHeight="1" x14ac:dyDescent="0.35">
      <c r="A94" s="100">
        <f>COUNTIF(MATINAIS!$B$2:$C$19,ESCALA!E94)</f>
        <v>0</v>
      </c>
      <c r="B94" s="72">
        <f>COUNTIF(MATINAIS!$C$2:$C$18,ESCALA!F94)</f>
        <v>0</v>
      </c>
      <c r="C94" s="26"/>
      <c r="D94" s="26"/>
      <c r="E94" s="26">
        <f t="shared" si="3"/>
        <v>0</v>
      </c>
      <c r="F94" s="101">
        <f t="shared" si="4"/>
        <v>0</v>
      </c>
      <c r="G94" s="26"/>
      <c r="H94" s="26"/>
      <c r="I94" s="26"/>
      <c r="J94" s="25"/>
      <c r="K94" s="26"/>
      <c r="L94" s="112"/>
      <c r="M94" s="113"/>
      <c r="N94" s="26"/>
      <c r="O94" s="26" t="str">
        <f>IFERROR(VLOOKUP(Tabela2[[#This Row],[Placa]],Tabela4[[PLACA ]:[MOTORISTA ]],2,0),"")</f>
        <v/>
      </c>
      <c r="P94" s="26"/>
    </row>
    <row r="95" spans="1:16" ht="49.5" customHeight="1" x14ac:dyDescent="0.35">
      <c r="A95" s="100">
        <f>COUNTIF(MATINAIS!$B$2:$C$19,ESCALA!E95)</f>
        <v>0</v>
      </c>
      <c r="B95" s="72">
        <f>COUNTIF(MATINAIS!$C$2:$C$18,ESCALA!F95)</f>
        <v>0</v>
      </c>
      <c r="C95" s="26"/>
      <c r="D95" s="26"/>
      <c r="E95" s="26">
        <f t="shared" si="3"/>
        <v>0</v>
      </c>
      <c r="F95" s="101">
        <f t="shared" si="4"/>
        <v>0</v>
      </c>
      <c r="G95" s="26"/>
      <c r="H95" s="26"/>
      <c r="I95" s="26"/>
      <c r="J95" s="25"/>
      <c r="K95" s="26"/>
      <c r="L95" s="112"/>
      <c r="M95" s="113"/>
      <c r="N95" s="26"/>
      <c r="O95" s="26" t="str">
        <f>IFERROR(VLOOKUP(Tabela2[[#This Row],[Placa]],Tabela4[[PLACA ]:[MOTORISTA ]],2,0),"")</f>
        <v/>
      </c>
      <c r="P95" s="26"/>
    </row>
    <row r="96" spans="1:16" ht="49.5" customHeight="1" x14ac:dyDescent="0.35">
      <c r="A96" s="100">
        <f>COUNTIF(MATINAIS!$B$2:$C$19,ESCALA!E96)</f>
        <v>0</v>
      </c>
      <c r="B96" s="72">
        <f>COUNTIF(MATINAIS!$C$2:$C$18,ESCALA!F96)</f>
        <v>0</v>
      </c>
      <c r="C96" s="26"/>
      <c r="D96" s="26"/>
      <c r="E96" s="26">
        <f t="shared" si="3"/>
        <v>0</v>
      </c>
      <c r="F96" s="101">
        <f t="shared" si="4"/>
        <v>0</v>
      </c>
      <c r="G96" s="26"/>
      <c r="H96" s="26"/>
      <c r="I96" s="26"/>
      <c r="J96" s="25"/>
      <c r="K96" s="26"/>
      <c r="L96" s="112"/>
      <c r="M96" s="113"/>
      <c r="N96" s="26"/>
      <c r="O96" s="26" t="str">
        <f>IFERROR(VLOOKUP(Tabela2[[#This Row],[Placa]],Tabela4[[PLACA ]:[MOTORISTA ]],2,0),"")</f>
        <v/>
      </c>
      <c r="P96" s="26"/>
    </row>
    <row r="97" spans="1:16" ht="26" x14ac:dyDescent="0.35">
      <c r="A97" s="100">
        <f>COUNTIF(MATINAIS!$B$2:$C$19,ESCALA!E97)</f>
        <v>0</v>
      </c>
      <c r="B97" s="72">
        <f>COUNTIF(MATINAIS!$C$2:$C$18,ESCALA!F97)</f>
        <v>0</v>
      </c>
      <c r="C97" s="26"/>
      <c r="D97" s="26"/>
      <c r="E97" s="26">
        <f t="shared" si="3"/>
        <v>0</v>
      </c>
      <c r="F97" s="101">
        <f t="shared" si="4"/>
        <v>0</v>
      </c>
      <c r="G97" s="26"/>
      <c r="H97" s="26"/>
      <c r="I97" s="26"/>
      <c r="J97" s="25"/>
      <c r="K97" s="26"/>
      <c r="L97" s="112"/>
      <c r="M97" s="113"/>
      <c r="N97" s="26"/>
      <c r="O97" s="26" t="str">
        <f>IFERROR(VLOOKUP(Tabela2[[#This Row],[Placa]],Tabela4[[PLACA ]:[MOTORISTA ]],2,0),"")</f>
        <v/>
      </c>
      <c r="P97" s="26"/>
    </row>
    <row r="98" spans="1:16" ht="26" x14ac:dyDescent="0.35">
      <c r="A98" s="100">
        <f>COUNTIF(MATINAIS!$B$2:$C$19,ESCALA!E98)</f>
        <v>0</v>
      </c>
      <c r="B98" s="72">
        <f>COUNTIF(MATINAIS!$C$2:$C$18,ESCALA!F98)</f>
        <v>0</v>
      </c>
      <c r="C98" s="26"/>
      <c r="D98" s="26"/>
      <c r="E98" s="26">
        <f t="shared" si="3"/>
        <v>0</v>
      </c>
      <c r="F98" s="101">
        <f t="shared" si="4"/>
        <v>0</v>
      </c>
      <c r="G98" s="26"/>
      <c r="H98" s="26"/>
      <c r="I98" s="26"/>
      <c r="J98" s="25"/>
      <c r="K98" s="26"/>
      <c r="L98" s="112"/>
      <c r="M98" s="113"/>
      <c r="N98" s="26"/>
      <c r="O98" s="26" t="str">
        <f>IFERROR(VLOOKUP(Tabela2[[#This Row],[Placa]],Tabela4[[PLACA ]:[MOTORISTA ]],2,0),"")</f>
        <v/>
      </c>
      <c r="P98" s="26"/>
    </row>
    <row r="99" spans="1:16" ht="26" x14ac:dyDescent="0.35">
      <c r="A99" s="70"/>
      <c r="B99" s="72">
        <f>COUNTIF(MATINAIS!$C$2:$C$18,ESCALA!F99)</f>
        <v>0</v>
      </c>
      <c r="C99" s="26"/>
      <c r="D99" s="26"/>
      <c r="E99" s="26">
        <f t="shared" si="3"/>
        <v>0</v>
      </c>
      <c r="F99" s="101">
        <f t="shared" si="4"/>
        <v>0</v>
      </c>
      <c r="G99" s="26"/>
      <c r="H99" s="26"/>
      <c r="I99" s="26"/>
      <c r="J99" s="25"/>
      <c r="K99" s="26"/>
      <c r="L99" s="112"/>
      <c r="M99" s="113"/>
      <c r="N99" s="26"/>
      <c r="O99" s="26" t="str">
        <f>IFERROR(VLOOKUP(Tabela2[[#This Row],[Placa]],Tabela4[[PLACA ]:[MOTORISTA ]],2,0),"")</f>
        <v/>
      </c>
      <c r="P99" s="26"/>
    </row>
    <row r="100" spans="1:16" ht="26" x14ac:dyDescent="0.35">
      <c r="A100" s="70"/>
      <c r="B100" s="72">
        <f>COUNTIF(MATINAIS!$C$2:$C$18,ESCALA!F100)</f>
        <v>0</v>
      </c>
      <c r="C100" s="26"/>
      <c r="D100" s="26"/>
      <c r="E100" s="26">
        <f t="shared" si="3"/>
        <v>0</v>
      </c>
      <c r="F100" s="101">
        <f t="shared" si="4"/>
        <v>0</v>
      </c>
      <c r="G100" s="26"/>
      <c r="H100" s="26"/>
      <c r="I100" s="26"/>
      <c r="J100" s="25"/>
      <c r="K100" s="26"/>
      <c r="L100" s="112"/>
      <c r="M100" s="113"/>
      <c r="N100" s="26"/>
      <c r="O100" s="26" t="str">
        <f>IFERROR(VLOOKUP(Tabela2[[#This Row],[Placa]],Tabela4[[PLACA ]:[MOTORISTA ]],2,0),"")</f>
        <v/>
      </c>
      <c r="P100" s="26"/>
    </row>
    <row r="101" spans="1:16" ht="26" x14ac:dyDescent="0.35">
      <c r="A101" s="70"/>
      <c r="B101" s="72">
        <f>COUNTIF(MATINAIS!$C$2:$C$18,ESCALA!F101)</f>
        <v>0</v>
      </c>
      <c r="C101" s="26"/>
      <c r="D101" s="26"/>
      <c r="E101" s="26">
        <f t="shared" si="3"/>
        <v>0</v>
      </c>
      <c r="F101" s="101">
        <f t="shared" si="4"/>
        <v>0</v>
      </c>
      <c r="G101" s="26"/>
      <c r="H101" s="26"/>
      <c r="I101" s="26"/>
      <c r="J101" s="25"/>
      <c r="K101" s="26"/>
      <c r="L101" s="112"/>
      <c r="M101" s="113"/>
      <c r="N101" s="26"/>
      <c r="O101" s="26" t="str">
        <f>IFERROR(VLOOKUP(Tabela2[[#This Row],[Placa]],Tabela4[[PLACA ]:[MOTORISTA ]],2,0),"")</f>
        <v/>
      </c>
      <c r="P101" s="26"/>
    </row>
    <row r="102" spans="1:16" ht="26" x14ac:dyDescent="0.35">
      <c r="A102" s="70"/>
      <c r="B102" s="72">
        <f>COUNTIF(MATINAIS!$C$2:$C$18,ESCALA!F102)</f>
        <v>0</v>
      </c>
      <c r="C102" s="26"/>
      <c r="D102" s="26"/>
      <c r="E102" s="26">
        <f t="shared" si="3"/>
        <v>0</v>
      </c>
      <c r="F102" s="101">
        <f t="shared" si="4"/>
        <v>0</v>
      </c>
      <c r="G102" s="26"/>
      <c r="H102" s="26"/>
      <c r="I102" s="26"/>
      <c r="J102" s="25"/>
      <c r="K102" s="26"/>
      <c r="L102" s="112"/>
      <c r="M102" s="113"/>
      <c r="N102" s="26"/>
      <c r="O102" s="26" t="str">
        <f>IFERROR(VLOOKUP(Tabela2[[#This Row],[Placa]],Tabela4[[PLACA ]:[MOTORISTA ]],2,0),"")</f>
        <v/>
      </c>
      <c r="P102" s="26"/>
    </row>
    <row r="103" spans="1:16" ht="26" x14ac:dyDescent="0.35">
      <c r="A103" s="70"/>
      <c r="B103" s="72">
        <f>COUNTIF(MATINAIS!$C$2:$C$18,ESCALA!F103)</f>
        <v>0</v>
      </c>
      <c r="C103" s="26"/>
      <c r="D103" s="26"/>
      <c r="E103" s="26">
        <f t="shared" si="3"/>
        <v>0</v>
      </c>
      <c r="F103" s="101">
        <f t="shared" si="4"/>
        <v>0</v>
      </c>
      <c r="G103" s="26"/>
      <c r="H103" s="26"/>
      <c r="I103" s="26"/>
      <c r="J103" s="25"/>
      <c r="K103" s="26"/>
      <c r="L103" s="112"/>
      <c r="M103" s="113"/>
      <c r="N103" s="26"/>
      <c r="O103" s="26" t="str">
        <f>IFERROR(VLOOKUP(Tabela2[[#This Row],[Placa]],Tabela4[[PLACA ]:[MOTORISTA ]],2,0),"")</f>
        <v/>
      </c>
      <c r="P103" s="26"/>
    </row>
    <row r="104" spans="1:16" ht="26" x14ac:dyDescent="0.35">
      <c r="A104" s="70"/>
      <c r="B104" s="72">
        <f>COUNTIF(MATINAIS!$C$2:$C$18,ESCALA!F104)</f>
        <v>0</v>
      </c>
      <c r="C104" s="26"/>
      <c r="D104" s="26"/>
      <c r="E104" s="26">
        <f t="shared" si="3"/>
        <v>0</v>
      </c>
      <c r="F104" s="101">
        <f t="shared" si="4"/>
        <v>0</v>
      </c>
      <c r="G104" s="26"/>
      <c r="H104" s="26"/>
      <c r="I104" s="26"/>
      <c r="J104" s="25"/>
      <c r="K104" s="26"/>
      <c r="L104" s="112"/>
      <c r="M104" s="113"/>
      <c r="N104" s="26"/>
      <c r="O104" s="26" t="str">
        <f>IFERROR(VLOOKUP(Tabela2[[#This Row],[Placa]],Tabela4[[PLACA ]:[MOTORISTA ]],2,0),"")</f>
        <v/>
      </c>
      <c r="P104" s="26"/>
    </row>
    <row r="105" spans="1:16" ht="26" x14ac:dyDescent="0.35">
      <c r="A105" s="70"/>
      <c r="B105" s="72">
        <f>COUNTIF(MATINAIS!$C$2:$C$18,ESCALA!F105)</f>
        <v>0</v>
      </c>
      <c r="C105" s="26"/>
      <c r="D105" s="26"/>
      <c r="E105" s="26">
        <f t="shared" si="3"/>
        <v>0</v>
      </c>
      <c r="F105" s="101">
        <f t="shared" si="4"/>
        <v>0</v>
      </c>
      <c r="G105" s="26"/>
      <c r="H105" s="26"/>
      <c r="I105" s="26"/>
      <c r="J105" s="25"/>
      <c r="K105" s="26"/>
      <c r="L105" s="112"/>
      <c r="M105" s="113"/>
      <c r="N105" s="26"/>
      <c r="O105" s="26" t="str">
        <f>IFERROR(VLOOKUP(Tabela2[[#This Row],[Placa]],Tabela4[[PLACA ]:[MOTORISTA ]],2,0),"")</f>
        <v/>
      </c>
      <c r="P105" s="26"/>
    </row>
    <row r="106" spans="1:16" ht="26" x14ac:dyDescent="0.35">
      <c r="A106" s="70"/>
      <c r="B106" s="71"/>
      <c r="C106" s="26"/>
      <c r="D106" s="26"/>
      <c r="E106" s="26">
        <f t="shared" si="3"/>
        <v>0</v>
      </c>
      <c r="F106" s="101">
        <f t="shared" si="4"/>
        <v>0</v>
      </c>
      <c r="G106" s="26"/>
      <c r="H106" s="26"/>
      <c r="I106" s="26"/>
      <c r="J106" s="25"/>
      <c r="K106" s="26"/>
      <c r="L106" s="112"/>
      <c r="M106" s="113"/>
      <c r="N106" s="26"/>
      <c r="O106" s="26" t="str">
        <f>IFERROR(VLOOKUP(Tabela2[[#This Row],[Placa]],Tabela4[[PLACA ]:[MOTORISTA ]],2,0),"")</f>
        <v/>
      </c>
      <c r="P106" s="26"/>
    </row>
    <row r="107" spans="1:16" ht="26" x14ac:dyDescent="0.35">
      <c r="A107" s="70"/>
      <c r="B107" s="71"/>
      <c r="C107" s="26"/>
      <c r="D107" s="26"/>
      <c r="E107" s="26">
        <f t="shared" si="3"/>
        <v>0</v>
      </c>
      <c r="F107" s="101">
        <f t="shared" si="4"/>
        <v>0</v>
      </c>
      <c r="G107" s="26"/>
      <c r="H107" s="26"/>
      <c r="I107" s="26"/>
      <c r="J107" s="25"/>
      <c r="K107" s="26"/>
      <c r="L107" s="112"/>
      <c r="M107" s="113"/>
      <c r="N107" s="26"/>
      <c r="O107" s="26" t="str">
        <f>IFERROR(VLOOKUP(Tabela2[[#This Row],[Placa]],Tabela4[[PLACA ]:[MOTORISTA ]],2,0),"")</f>
        <v/>
      </c>
      <c r="P107" s="26"/>
    </row>
    <row r="108" spans="1:16" ht="26" x14ac:dyDescent="0.35">
      <c r="C108" s="26"/>
      <c r="D108" s="26"/>
      <c r="E108" s="26"/>
      <c r="F108" s="26"/>
      <c r="G108" s="26"/>
      <c r="H108" s="26"/>
      <c r="I108" s="26"/>
      <c r="J108" s="25"/>
      <c r="K108" s="26"/>
      <c r="L108" s="26"/>
      <c r="M108" s="26"/>
      <c r="N108" s="26"/>
    </row>
    <row r="109" spans="1:16" ht="26" x14ac:dyDescent="0.35">
      <c r="C109" s="26"/>
      <c r="D109" s="26"/>
      <c r="E109" s="26"/>
      <c r="F109" s="26"/>
      <c r="G109" s="26"/>
      <c r="H109" s="26"/>
      <c r="I109" s="26"/>
      <c r="J109" s="25"/>
      <c r="K109" s="26"/>
      <c r="L109" s="26"/>
      <c r="M109" s="26"/>
      <c r="N109" s="26"/>
    </row>
    <row r="110" spans="1:16" ht="26" x14ac:dyDescent="0.35">
      <c r="C110" s="26"/>
      <c r="D110" s="26"/>
      <c r="E110" s="26"/>
      <c r="F110" s="26"/>
      <c r="G110" s="26"/>
      <c r="H110" s="26"/>
      <c r="I110" s="26"/>
      <c r="J110" s="25"/>
      <c r="K110" s="26"/>
      <c r="L110" s="26"/>
      <c r="M110" s="26"/>
      <c r="N110" s="26"/>
    </row>
    <row r="111" spans="1:16" ht="26" x14ac:dyDescent="0.35">
      <c r="C111" s="26"/>
      <c r="D111" s="26"/>
      <c r="E111" s="26"/>
      <c r="F111" s="26"/>
      <c r="G111" s="26"/>
      <c r="H111" s="26"/>
      <c r="I111" s="26"/>
      <c r="J111" s="25"/>
      <c r="K111" s="26"/>
      <c r="L111" s="26"/>
      <c r="M111" s="26"/>
      <c r="N111" s="26"/>
    </row>
    <row r="112" spans="1:16" ht="26" x14ac:dyDescent="0.35">
      <c r="C112" s="26"/>
      <c r="D112" s="26"/>
      <c r="E112" s="26"/>
      <c r="F112" s="26"/>
      <c r="G112" s="26"/>
      <c r="H112" s="26"/>
      <c r="I112" s="26"/>
      <c r="J112" s="25"/>
      <c r="K112" s="26"/>
      <c r="L112" s="26"/>
      <c r="M112" s="26"/>
      <c r="N112" s="26"/>
    </row>
    <row r="113" spans="3:14" ht="26" x14ac:dyDescent="0.35">
      <c r="C113" s="26"/>
      <c r="D113" s="26"/>
      <c r="E113" s="26"/>
      <c r="F113" s="26"/>
      <c r="G113" s="26"/>
      <c r="H113" s="26"/>
      <c r="I113" s="26"/>
      <c r="J113" s="25"/>
      <c r="K113" s="26"/>
      <c r="L113" s="26"/>
      <c r="M113" s="26"/>
      <c r="N113" s="26"/>
    </row>
    <row r="114" spans="3:14" ht="26" x14ac:dyDescent="0.35">
      <c r="C114" s="26"/>
      <c r="D114" s="26"/>
      <c r="E114" s="26"/>
      <c r="F114" s="26"/>
      <c r="G114" s="26"/>
      <c r="H114" s="26"/>
      <c r="I114" s="26"/>
      <c r="J114" s="25"/>
      <c r="K114" s="26"/>
      <c r="L114" s="26"/>
      <c r="M114" s="26"/>
      <c r="N114" s="26"/>
    </row>
    <row r="115" spans="3:14" ht="26" x14ac:dyDescent="0.35">
      <c r="C115" s="26"/>
      <c r="D115" s="26"/>
      <c r="E115" s="26"/>
      <c r="F115" s="26"/>
      <c r="G115" s="26"/>
      <c r="H115" s="26"/>
      <c r="I115" s="26"/>
      <c r="J115" s="25"/>
      <c r="K115" s="26"/>
      <c r="L115" s="26"/>
      <c r="M115" s="26"/>
      <c r="N115" s="26"/>
    </row>
    <row r="116" spans="3:14" ht="26" x14ac:dyDescent="0.35">
      <c r="C116" s="26"/>
      <c r="D116" s="26"/>
      <c r="E116" s="26"/>
      <c r="F116" s="26"/>
      <c r="G116" s="26"/>
      <c r="H116" s="26"/>
      <c r="I116" s="26"/>
      <c r="J116" s="25"/>
      <c r="K116" s="26"/>
      <c r="L116" s="26"/>
      <c r="M116" s="26"/>
      <c r="N116" s="26"/>
    </row>
    <row r="117" spans="3:14" ht="26" x14ac:dyDescent="0.35">
      <c r="C117" s="26"/>
      <c r="D117" s="26"/>
      <c r="E117" s="26"/>
      <c r="F117" s="26"/>
      <c r="G117" s="26"/>
      <c r="H117" s="26"/>
      <c r="I117" s="26"/>
      <c r="J117" s="25"/>
      <c r="K117" s="26"/>
      <c r="L117" s="26"/>
      <c r="M117" s="26"/>
      <c r="N117" s="26"/>
    </row>
    <row r="118" spans="3:14" ht="26" x14ac:dyDescent="0.35">
      <c r="C118" s="26"/>
      <c r="D118" s="26"/>
      <c r="E118" s="26"/>
      <c r="F118" s="26"/>
      <c r="G118" s="26"/>
      <c r="H118" s="26"/>
      <c r="I118" s="26"/>
      <c r="J118" s="25"/>
      <c r="K118" s="26"/>
      <c r="L118" s="26"/>
      <c r="M118" s="26"/>
      <c r="N118" s="26"/>
    </row>
    <row r="119" spans="3:14" ht="26" x14ac:dyDescent="0.35">
      <c r="C119" s="26"/>
      <c r="D119" s="26"/>
      <c r="E119" s="26"/>
      <c r="F119" s="26"/>
      <c r="G119" s="26"/>
      <c r="H119" s="26"/>
      <c r="I119" s="26"/>
      <c r="J119" s="25"/>
      <c r="K119" s="26"/>
      <c r="L119" s="26"/>
      <c r="M119" s="26"/>
      <c r="N119" s="26"/>
    </row>
    <row r="120" spans="3:14" ht="26" x14ac:dyDescent="0.35">
      <c r="C120" s="26"/>
      <c r="D120" s="26"/>
      <c r="E120" s="26"/>
      <c r="F120" s="26"/>
      <c r="G120" s="26"/>
      <c r="H120" s="26"/>
      <c r="I120" s="26"/>
      <c r="J120" s="25"/>
      <c r="K120" s="26"/>
      <c r="L120" s="26"/>
      <c r="M120" s="26"/>
      <c r="N120" s="26"/>
    </row>
    <row r="121" spans="3:14" ht="26" x14ac:dyDescent="0.35">
      <c r="C121" s="26"/>
      <c r="D121" s="26"/>
      <c r="E121" s="26"/>
      <c r="F121" s="26"/>
      <c r="G121" s="26"/>
      <c r="H121" s="26"/>
      <c r="I121" s="26"/>
      <c r="J121" s="25"/>
      <c r="K121" s="26"/>
      <c r="L121" s="26"/>
      <c r="M121" s="26"/>
      <c r="N121" s="26"/>
    </row>
    <row r="122" spans="3:14" ht="26" x14ac:dyDescent="0.35">
      <c r="C122" s="26"/>
      <c r="D122" s="26"/>
      <c r="E122" s="26"/>
      <c r="F122" s="26"/>
      <c r="G122" s="26"/>
      <c r="H122" s="26"/>
      <c r="I122" s="26"/>
      <c r="J122" s="25"/>
      <c r="K122" s="26"/>
      <c r="L122" s="26"/>
      <c r="M122" s="26"/>
      <c r="N122" s="26"/>
    </row>
    <row r="123" spans="3:14" ht="26" x14ac:dyDescent="0.35">
      <c r="C123" s="26"/>
      <c r="D123" s="26"/>
      <c r="E123" s="26"/>
      <c r="F123" s="26"/>
      <c r="G123" s="26"/>
      <c r="H123" s="26"/>
      <c r="I123" s="26"/>
      <c r="J123" s="25"/>
      <c r="K123" s="26"/>
      <c r="L123" s="26"/>
      <c r="M123" s="26"/>
      <c r="N123" s="26"/>
    </row>
    <row r="124" spans="3:14" ht="26" x14ac:dyDescent="0.35">
      <c r="C124" s="26"/>
      <c r="D124" s="26"/>
      <c r="E124" s="26"/>
      <c r="F124" s="26"/>
      <c r="G124" s="26"/>
      <c r="H124" s="26"/>
      <c r="I124" s="26"/>
      <c r="J124" s="25"/>
      <c r="K124" s="26"/>
      <c r="L124" s="26"/>
      <c r="M124" s="26"/>
      <c r="N124" s="26"/>
    </row>
    <row r="125" spans="3:14" ht="26" x14ac:dyDescent="0.35">
      <c r="C125" s="26"/>
      <c r="D125" s="26"/>
      <c r="E125" s="26"/>
      <c r="F125" s="26"/>
      <c r="G125" s="26"/>
      <c r="H125" s="26"/>
      <c r="I125" s="26"/>
      <c r="J125" s="25"/>
      <c r="K125" s="26"/>
      <c r="L125" s="26"/>
      <c r="M125" s="26"/>
      <c r="N125" s="26"/>
    </row>
    <row r="126" spans="3:14" ht="26" x14ac:dyDescent="0.35">
      <c r="C126" s="26"/>
      <c r="D126" s="26"/>
      <c r="E126" s="26"/>
      <c r="F126" s="26"/>
      <c r="G126" s="26"/>
      <c r="H126" s="26"/>
      <c r="I126" s="26"/>
      <c r="J126" s="25"/>
      <c r="K126" s="26"/>
      <c r="L126" s="26"/>
      <c r="M126" s="26"/>
      <c r="N126" s="26"/>
    </row>
    <row r="127" spans="3:14" ht="26" x14ac:dyDescent="0.35">
      <c r="C127" s="26"/>
      <c r="D127" s="26"/>
      <c r="E127" s="26"/>
      <c r="F127" s="26"/>
      <c r="G127" s="26"/>
      <c r="H127" s="26"/>
      <c r="I127" s="26"/>
      <c r="J127" s="25"/>
      <c r="K127" s="26"/>
      <c r="L127" s="26"/>
      <c r="M127" s="26"/>
      <c r="N127" s="26"/>
    </row>
    <row r="128" spans="3:14" ht="26" x14ac:dyDescent="0.35">
      <c r="C128" s="26"/>
      <c r="D128" s="26"/>
      <c r="E128" s="26"/>
      <c r="F128" s="26"/>
      <c r="G128" s="26"/>
      <c r="H128" s="26"/>
      <c r="I128" s="26"/>
      <c r="J128" s="25"/>
      <c r="K128" s="26"/>
      <c r="L128" s="26"/>
      <c r="M128" s="26"/>
      <c r="N128" s="26"/>
    </row>
    <row r="129" spans="3:14" ht="26" x14ac:dyDescent="0.35">
      <c r="C129" s="26"/>
      <c r="D129" s="26"/>
      <c r="E129" s="26"/>
      <c r="F129" s="26"/>
      <c r="G129" s="26"/>
      <c r="H129" s="26"/>
      <c r="I129" s="26"/>
      <c r="J129" s="25"/>
      <c r="K129" s="26"/>
      <c r="L129" s="26"/>
      <c r="M129" s="26"/>
      <c r="N129" s="26"/>
    </row>
    <row r="130" spans="3:14" ht="26" x14ac:dyDescent="0.35">
      <c r="C130" s="26"/>
      <c r="D130" s="26"/>
      <c r="E130" s="26"/>
      <c r="F130" s="26"/>
      <c r="G130" s="26"/>
      <c r="H130" s="26"/>
      <c r="I130" s="26"/>
      <c r="J130" s="25"/>
      <c r="K130" s="26"/>
      <c r="L130" s="26"/>
      <c r="M130" s="26"/>
      <c r="N130" s="26"/>
    </row>
    <row r="131" spans="3:14" ht="26" x14ac:dyDescent="0.35">
      <c r="C131" s="26"/>
      <c r="D131" s="26"/>
      <c r="E131" s="26"/>
      <c r="F131" s="26"/>
      <c r="G131" s="26"/>
      <c r="H131" s="26"/>
      <c r="I131" s="26"/>
      <c r="J131" s="25"/>
      <c r="K131" s="26"/>
      <c r="L131" s="26"/>
      <c r="M131" s="26"/>
      <c r="N131" s="26"/>
    </row>
    <row r="132" spans="3:14" ht="26" x14ac:dyDescent="0.35">
      <c r="C132" s="26"/>
      <c r="D132" s="26"/>
      <c r="E132" s="26"/>
      <c r="F132" s="26"/>
      <c r="G132" s="26"/>
      <c r="H132" s="26"/>
      <c r="I132" s="26"/>
      <c r="J132" s="25"/>
      <c r="K132" s="26"/>
      <c r="L132" s="26"/>
      <c r="M132" s="26"/>
      <c r="N132" s="26"/>
    </row>
    <row r="133" spans="3:14" ht="26" x14ac:dyDescent="0.35">
      <c r="C133" s="26"/>
      <c r="D133" s="26"/>
      <c r="E133" s="26"/>
      <c r="F133" s="26"/>
      <c r="G133" s="26"/>
      <c r="H133" s="26"/>
      <c r="I133" s="26"/>
      <c r="J133" s="25"/>
      <c r="K133" s="26"/>
      <c r="L133" s="26"/>
      <c r="M133" s="26"/>
      <c r="N133" s="26"/>
    </row>
    <row r="134" spans="3:14" ht="26" x14ac:dyDescent="0.35">
      <c r="C134" s="26"/>
      <c r="D134" s="26"/>
      <c r="E134" s="26"/>
      <c r="F134" s="26"/>
      <c r="G134" s="26"/>
      <c r="H134" s="26"/>
      <c r="I134" s="26"/>
      <c r="J134" s="25"/>
      <c r="K134" s="26"/>
      <c r="L134" s="26"/>
      <c r="M134" s="26"/>
      <c r="N134" s="26"/>
    </row>
    <row r="135" spans="3:14" ht="26" x14ac:dyDescent="0.35">
      <c r="C135" s="26"/>
      <c r="D135" s="26"/>
      <c r="E135" s="26"/>
      <c r="F135" s="26"/>
      <c r="G135" s="26"/>
      <c r="H135" s="26"/>
      <c r="I135" s="26"/>
      <c r="J135" s="25"/>
      <c r="K135" s="26"/>
      <c r="L135" s="26"/>
      <c r="M135" s="26"/>
      <c r="N135" s="26"/>
    </row>
    <row r="136" spans="3:14" ht="26" x14ac:dyDescent="0.35">
      <c r="C136" s="26"/>
      <c r="D136" s="26"/>
      <c r="E136" s="26"/>
      <c r="F136" s="26"/>
      <c r="G136" s="26"/>
      <c r="H136" s="26"/>
      <c r="I136" s="26"/>
      <c r="J136" s="25"/>
      <c r="K136" s="26"/>
      <c r="L136" s="26"/>
      <c r="M136" s="26"/>
      <c r="N136" s="26"/>
    </row>
    <row r="137" spans="3:14" ht="26" x14ac:dyDescent="0.35">
      <c r="C137" s="26"/>
      <c r="D137" s="26"/>
      <c r="E137" s="26"/>
      <c r="F137" s="26"/>
      <c r="G137" s="26"/>
      <c r="H137" s="26"/>
      <c r="I137" s="26"/>
      <c r="J137" s="25"/>
      <c r="K137" s="26"/>
      <c r="L137" s="26"/>
      <c r="M137" s="26"/>
      <c r="N137" s="26"/>
    </row>
    <row r="138" spans="3:14" ht="26" x14ac:dyDescent="0.35">
      <c r="C138" s="26"/>
      <c r="D138" s="26"/>
      <c r="E138" s="26"/>
      <c r="F138" s="26"/>
      <c r="G138" s="26"/>
      <c r="H138" s="26"/>
      <c r="I138" s="26"/>
      <c r="J138" s="25"/>
      <c r="K138" s="26"/>
      <c r="L138" s="26"/>
      <c r="M138" s="26"/>
      <c r="N138" s="26"/>
    </row>
  </sheetData>
  <mergeCells count="2">
    <mergeCell ref="A6:B6"/>
    <mergeCell ref="AG6:AJ6"/>
  </mergeCells>
  <phoneticPr fontId="30" type="noConversion"/>
  <conditionalFormatting sqref="AG43">
    <cfRule type="duplicateValues" dxfId="8827" priority="9281"/>
  </conditionalFormatting>
  <conditionalFormatting sqref="AG43">
    <cfRule type="duplicateValues" dxfId="8826" priority="9260"/>
  </conditionalFormatting>
  <conditionalFormatting sqref="AG43">
    <cfRule type="duplicateValues" dxfId="8825" priority="9259"/>
  </conditionalFormatting>
  <conditionalFormatting sqref="AH43">
    <cfRule type="duplicateValues" dxfId="8824" priority="9246"/>
  </conditionalFormatting>
  <conditionalFormatting sqref="AI43">
    <cfRule type="duplicateValues" dxfId="8823" priority="9245"/>
  </conditionalFormatting>
  <conditionalFormatting sqref="AI43">
    <cfRule type="duplicateValues" dxfId="8822" priority="9244"/>
  </conditionalFormatting>
  <conditionalFormatting sqref="AH41">
    <cfRule type="duplicateValues" dxfId="8821" priority="5265"/>
  </conditionalFormatting>
  <conditionalFormatting sqref="AH41">
    <cfRule type="duplicateValues" dxfId="8820" priority="5264"/>
  </conditionalFormatting>
  <conditionalFormatting sqref="AH41">
    <cfRule type="duplicateValues" dxfId="8819" priority="5263"/>
  </conditionalFormatting>
  <conditionalFormatting sqref="AH41">
    <cfRule type="duplicateValues" dxfId="8818" priority="5262"/>
  </conditionalFormatting>
  <conditionalFormatting sqref="AG42">
    <cfRule type="duplicateValues" dxfId="8817" priority="4894"/>
  </conditionalFormatting>
  <conditionalFormatting sqref="AH42">
    <cfRule type="duplicateValues" dxfId="8816" priority="4893"/>
  </conditionalFormatting>
  <conditionalFormatting sqref="AH42">
    <cfRule type="duplicateValues" dxfId="8815" priority="4892"/>
  </conditionalFormatting>
  <conditionalFormatting sqref="AH42">
    <cfRule type="duplicateValues" dxfId="8814" priority="4891"/>
  </conditionalFormatting>
  <conditionalFormatting sqref="AH42">
    <cfRule type="duplicateValues" dxfId="8813" priority="4890"/>
  </conditionalFormatting>
  <conditionalFormatting sqref="AH42">
    <cfRule type="duplicateValues" dxfId="8812" priority="4889"/>
  </conditionalFormatting>
  <conditionalFormatting sqref="AH42">
    <cfRule type="duplicateValues" dxfId="8811" priority="4888"/>
  </conditionalFormatting>
  <conditionalFormatting sqref="AH42">
    <cfRule type="duplicateValues" dxfId="8810" priority="4887"/>
  </conditionalFormatting>
  <conditionalFormatting sqref="AH42">
    <cfRule type="duplicateValues" dxfId="8809" priority="4886"/>
  </conditionalFormatting>
  <conditionalFormatting sqref="AH42">
    <cfRule type="duplicateValues" dxfId="8808" priority="4885"/>
  </conditionalFormatting>
  <conditionalFormatting sqref="AH42">
    <cfRule type="duplicateValues" dxfId="8807" priority="4884"/>
  </conditionalFormatting>
  <conditionalFormatting sqref="AH42">
    <cfRule type="duplicateValues" dxfId="8806" priority="4883"/>
  </conditionalFormatting>
  <conditionalFormatting sqref="AH42">
    <cfRule type="duplicateValues" dxfId="8805" priority="4882"/>
  </conditionalFormatting>
  <conditionalFormatting sqref="A8:B107">
    <cfRule type="cellIs" dxfId="8804" priority="4825" operator="equal">
      <formula>1</formula>
    </cfRule>
  </conditionalFormatting>
  <conditionalFormatting sqref="N7:N34 N39:N106">
    <cfRule type="cellIs" dxfId="8803" priority="4805" operator="equal">
      <formula>"VUC"</formula>
    </cfRule>
  </conditionalFormatting>
  <conditionalFormatting sqref="K7:K32 K39:K105">
    <cfRule type="colorScale" priority="4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2 K39:K105">
    <cfRule type="colorScale" priority="4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2 K39:K105">
    <cfRule type="colorScale" priority="479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2 K39:K105">
    <cfRule type="colorScale" priority="4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2 K39:K105">
    <cfRule type="colorScale" priority="4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2 K39:K105">
    <cfRule type="colorScale" priority="4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3:K34">
    <cfRule type="colorScale" priority="4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3:K34">
    <cfRule type="colorScale" priority="4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3:K34">
    <cfRule type="colorScale" priority="4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3:K34">
    <cfRule type="colorScale" priority="4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3:K34">
    <cfRule type="colorScale" priority="4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3:K34">
    <cfRule type="colorScale" priority="4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4">
    <cfRule type="duplicateValues" dxfId="8802" priority="4789"/>
  </conditionalFormatting>
  <conditionalFormatting sqref="K33:K34">
    <cfRule type="colorScale" priority="4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8:K34">
    <cfRule type="colorScale" priority="4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4 K39:K105">
    <cfRule type="colorScale" priority="468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69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4 K39:K1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4 K39:K10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4 K39:K105">
    <cfRule type="colorScale" priority="4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4 K39:K105">
    <cfRule type="colorScale" priority="4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4 K39:K10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8">
    <cfRule type="duplicateValues" dxfId="8801" priority="4680"/>
  </conditionalFormatting>
  <conditionalFormatting sqref="G12">
    <cfRule type="duplicateValues" dxfId="8800" priority="4675"/>
  </conditionalFormatting>
  <conditionalFormatting sqref="G12">
    <cfRule type="duplicateValues" dxfId="8799" priority="4674"/>
  </conditionalFormatting>
  <conditionalFormatting sqref="E40:G42 F39:G39 E10:G12 E14:G38 E13:F13">
    <cfRule type="duplicateValues" dxfId="8798" priority="4661"/>
  </conditionalFormatting>
  <conditionalFormatting sqref="G107">
    <cfRule type="duplicateValues" dxfId="8797" priority="4660"/>
  </conditionalFormatting>
  <conditionalFormatting sqref="G107">
    <cfRule type="duplicateValues" dxfId="8796" priority="4659"/>
  </conditionalFormatting>
  <conditionalFormatting sqref="K7:K32 K39:K137">
    <cfRule type="colorScale" priority="1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">
    <cfRule type="duplicateValues" dxfId="8795" priority="4653"/>
  </conditionalFormatting>
  <conditionalFormatting sqref="AG8:AG32">
    <cfRule type="duplicateValues" dxfId="8794" priority="4652"/>
  </conditionalFormatting>
  <conditionalFormatting sqref="AG11">
    <cfRule type="duplicateValues" dxfId="8793" priority="4651"/>
  </conditionalFormatting>
  <conditionalFormatting sqref="AG24">
    <cfRule type="duplicateValues" dxfId="8792" priority="4650"/>
  </conditionalFormatting>
  <conditionalFormatting sqref="AG31:AG32">
    <cfRule type="duplicateValues" dxfId="8791" priority="4649"/>
  </conditionalFormatting>
  <conditionalFormatting sqref="AG24:AG25">
    <cfRule type="duplicateValues" dxfId="8790" priority="4648"/>
  </conditionalFormatting>
  <conditionalFormatting sqref="AG14">
    <cfRule type="duplicateValues" dxfId="8789" priority="4647"/>
  </conditionalFormatting>
  <conditionalFormatting sqref="AG15">
    <cfRule type="duplicateValues" dxfId="8788" priority="4646"/>
  </conditionalFormatting>
  <conditionalFormatting sqref="AG17">
    <cfRule type="duplicateValues" dxfId="8787" priority="4645"/>
  </conditionalFormatting>
  <conditionalFormatting sqref="AG18">
    <cfRule type="duplicateValues" dxfId="8786" priority="4644"/>
  </conditionalFormatting>
  <conditionalFormatting sqref="AG8">
    <cfRule type="duplicateValues" dxfId="8785" priority="4643"/>
  </conditionalFormatting>
  <conditionalFormatting sqref="AG17">
    <cfRule type="duplicateValues" dxfId="8784" priority="4642"/>
  </conditionalFormatting>
  <conditionalFormatting sqref="AG27:AG30">
    <cfRule type="duplicateValues" dxfId="8783" priority="4641"/>
  </conditionalFormatting>
  <conditionalFormatting sqref="AG9:AG32">
    <cfRule type="duplicateValues" dxfId="8782" priority="4640"/>
  </conditionalFormatting>
  <conditionalFormatting sqref="AG19">
    <cfRule type="duplicateValues" dxfId="8781" priority="4639"/>
  </conditionalFormatting>
  <conditionalFormatting sqref="AG10">
    <cfRule type="duplicateValues" dxfId="8780" priority="4638"/>
  </conditionalFormatting>
  <conditionalFormatting sqref="AG21">
    <cfRule type="duplicateValues" dxfId="8779" priority="4637"/>
  </conditionalFormatting>
  <conditionalFormatting sqref="AG25:AG26">
    <cfRule type="duplicateValues" dxfId="8778" priority="4636"/>
  </conditionalFormatting>
  <conditionalFormatting sqref="AG30:AG31">
    <cfRule type="duplicateValues" dxfId="8777" priority="4635"/>
  </conditionalFormatting>
  <conditionalFormatting sqref="AG12">
    <cfRule type="duplicateValues" dxfId="8776" priority="4634"/>
  </conditionalFormatting>
  <conditionalFormatting sqref="AG12">
    <cfRule type="duplicateValues" dxfId="8775" priority="4632" stopIfTrue="1"/>
    <cfRule type="duplicateValues" dxfId="8774" priority="4633"/>
  </conditionalFormatting>
  <conditionalFormatting sqref="AG23">
    <cfRule type="duplicateValues" dxfId="8773" priority="4631"/>
  </conditionalFormatting>
  <conditionalFormatting sqref="AG16">
    <cfRule type="duplicateValues" dxfId="8772" priority="4630"/>
  </conditionalFormatting>
  <conditionalFormatting sqref="AG16">
    <cfRule type="duplicateValues" dxfId="8771" priority="4629"/>
  </conditionalFormatting>
  <conditionalFormatting sqref="AG26:AG27">
    <cfRule type="duplicateValues" dxfId="8770" priority="4628"/>
  </conditionalFormatting>
  <conditionalFormatting sqref="AG22">
    <cfRule type="duplicateValues" dxfId="8769" priority="4627"/>
  </conditionalFormatting>
  <conditionalFormatting sqref="AG28:AG29">
    <cfRule type="duplicateValues" dxfId="8768" priority="4626"/>
  </conditionalFormatting>
  <conditionalFormatting sqref="AG9">
    <cfRule type="duplicateValues" dxfId="8767" priority="4625"/>
  </conditionalFormatting>
  <conditionalFormatting sqref="AH20">
    <cfRule type="duplicateValues" dxfId="8766" priority="4623"/>
  </conditionalFormatting>
  <conditionalFormatting sqref="AH20">
    <cfRule type="duplicateValues" dxfId="8765" priority="4622"/>
  </conditionalFormatting>
  <conditionalFormatting sqref="AH20">
    <cfRule type="duplicateValues" dxfId="8764" priority="4621"/>
  </conditionalFormatting>
  <conditionalFormatting sqref="AH20">
    <cfRule type="duplicateValues" dxfId="8763" priority="4620"/>
  </conditionalFormatting>
  <conditionalFormatting sqref="AH20">
    <cfRule type="duplicateValues" dxfId="8762" priority="4618" stopIfTrue="1"/>
    <cfRule type="duplicateValues" dxfId="8761" priority="4619"/>
  </conditionalFormatting>
  <conditionalFormatting sqref="AH20">
    <cfRule type="duplicateValues" dxfId="8760" priority="4617"/>
  </conditionalFormatting>
  <conditionalFormatting sqref="AH23">
    <cfRule type="duplicateValues" dxfId="8759" priority="4616"/>
  </conditionalFormatting>
  <conditionalFormatting sqref="AI23">
    <cfRule type="duplicateValues" dxfId="8758" priority="4615"/>
  </conditionalFormatting>
  <conditionalFormatting sqref="AI23">
    <cfRule type="duplicateValues" dxfId="8757" priority="4613" stopIfTrue="1"/>
    <cfRule type="duplicateValues" dxfId="8756" priority="4614"/>
  </conditionalFormatting>
  <conditionalFormatting sqref="AH31:AH32">
    <cfRule type="duplicateValues" dxfId="8755" priority="4612"/>
  </conditionalFormatting>
  <conditionalFormatting sqref="AI31:AI32">
    <cfRule type="duplicateValues" dxfId="8754" priority="4611"/>
  </conditionalFormatting>
  <conditionalFormatting sqref="AI31:AI32">
    <cfRule type="duplicateValues" dxfId="8753" priority="4609" stopIfTrue="1"/>
    <cfRule type="duplicateValues" dxfId="8752" priority="4610"/>
  </conditionalFormatting>
  <conditionalFormatting sqref="AI32:AI33">
    <cfRule type="duplicateValues" dxfId="8751" priority="4608"/>
  </conditionalFormatting>
  <conditionalFormatting sqref="AI32:AI33">
    <cfRule type="duplicateValues" dxfId="8750" priority="4606" stopIfTrue="1"/>
    <cfRule type="duplicateValues" dxfId="8749" priority="4607"/>
  </conditionalFormatting>
  <conditionalFormatting sqref="AH27:AH28">
    <cfRule type="duplicateValues" dxfId="8748" priority="4605"/>
  </conditionalFormatting>
  <conditionalFormatting sqref="AH27:AH28">
    <cfRule type="duplicateValues" dxfId="8747" priority="4604"/>
  </conditionalFormatting>
  <conditionalFormatting sqref="AI27:AI28">
    <cfRule type="duplicateValues" dxfId="8746" priority="4603"/>
  </conditionalFormatting>
  <conditionalFormatting sqref="AI27:AI28">
    <cfRule type="duplicateValues" dxfId="8745" priority="4602"/>
  </conditionalFormatting>
  <conditionalFormatting sqref="AI27:AI28">
    <cfRule type="duplicateValues" dxfId="8744" priority="4600" stopIfTrue="1"/>
    <cfRule type="duplicateValues" dxfId="8743" priority="4601"/>
  </conditionalFormatting>
  <conditionalFormatting sqref="AH24:AH25">
    <cfRule type="duplicateValues" dxfId="8742" priority="4599"/>
  </conditionalFormatting>
  <conditionalFormatting sqref="AH25:AH26">
    <cfRule type="duplicateValues" dxfId="8741" priority="4598"/>
  </conditionalFormatting>
  <conditionalFormatting sqref="AH25:AH26">
    <cfRule type="duplicateValues" dxfId="8740" priority="4597"/>
  </conditionalFormatting>
  <conditionalFormatting sqref="AH25:AH26">
    <cfRule type="duplicateValues" dxfId="8739" priority="4596"/>
  </conditionalFormatting>
  <conditionalFormatting sqref="AH25:AH26">
    <cfRule type="duplicateValues" dxfId="8738" priority="4595"/>
  </conditionalFormatting>
  <conditionalFormatting sqref="AH25:AH26">
    <cfRule type="duplicateValues" dxfId="8737" priority="4594"/>
  </conditionalFormatting>
  <conditionalFormatting sqref="AH25:AH26">
    <cfRule type="duplicateValues" dxfId="8736" priority="4593"/>
  </conditionalFormatting>
  <conditionalFormatting sqref="AH25:AH26">
    <cfRule type="duplicateValues" dxfId="8735" priority="4592"/>
  </conditionalFormatting>
  <conditionalFormatting sqref="AH25:AH26">
    <cfRule type="duplicateValues" dxfId="8734" priority="4591"/>
  </conditionalFormatting>
  <conditionalFormatting sqref="AH25:AH26">
    <cfRule type="duplicateValues" dxfId="8733" priority="4590"/>
  </conditionalFormatting>
  <conditionalFormatting sqref="AH25:AH26">
    <cfRule type="duplicateValues" dxfId="8732" priority="4589"/>
  </conditionalFormatting>
  <conditionalFormatting sqref="AH25:AH26">
    <cfRule type="duplicateValues" dxfId="8731" priority="4588"/>
  </conditionalFormatting>
  <conditionalFormatting sqref="AH25:AH26">
    <cfRule type="duplicateValues" dxfId="8730" priority="4587"/>
  </conditionalFormatting>
  <conditionalFormatting sqref="AH25:AH26">
    <cfRule type="duplicateValues" dxfId="8729" priority="4586"/>
  </conditionalFormatting>
  <conditionalFormatting sqref="AH25:AH26">
    <cfRule type="duplicateValues" dxfId="8728" priority="4585"/>
  </conditionalFormatting>
  <conditionalFormatting sqref="AH25:AH26">
    <cfRule type="duplicateValues" dxfId="8727" priority="4584"/>
  </conditionalFormatting>
  <conditionalFormatting sqref="AH25:AH26">
    <cfRule type="duplicateValues" dxfId="8726" priority="4583"/>
  </conditionalFormatting>
  <conditionalFormatting sqref="AH25:AH26">
    <cfRule type="duplicateValues" dxfId="8725" priority="4582"/>
  </conditionalFormatting>
  <conditionalFormatting sqref="AH25:AH26">
    <cfRule type="duplicateValues" dxfId="8724" priority="4581"/>
  </conditionalFormatting>
  <conditionalFormatting sqref="AH25:AH26">
    <cfRule type="duplicateValues" dxfId="8723" priority="4580"/>
  </conditionalFormatting>
  <conditionalFormatting sqref="AH25:AH26">
    <cfRule type="duplicateValues" dxfId="8722" priority="4579"/>
  </conditionalFormatting>
  <conditionalFormatting sqref="AH25:AH26">
    <cfRule type="duplicateValues" dxfId="8721" priority="4578"/>
  </conditionalFormatting>
  <conditionalFormatting sqref="AH25:AH26">
    <cfRule type="duplicateValues" dxfId="8720" priority="4577"/>
  </conditionalFormatting>
  <conditionalFormatting sqref="AH25:AH26">
    <cfRule type="duplicateValues" dxfId="8719" priority="4576"/>
  </conditionalFormatting>
  <conditionalFormatting sqref="AH25:AH26">
    <cfRule type="duplicateValues" dxfId="8718" priority="4575"/>
  </conditionalFormatting>
  <conditionalFormatting sqref="AH25:AH26">
    <cfRule type="duplicateValues" dxfId="8717" priority="4574"/>
  </conditionalFormatting>
  <conditionalFormatting sqref="AH25:AH26">
    <cfRule type="duplicateValues" dxfId="8716" priority="4573"/>
  </conditionalFormatting>
  <conditionalFormatting sqref="AH25:AH26">
    <cfRule type="duplicateValues" dxfId="8715" priority="4572"/>
  </conditionalFormatting>
  <conditionalFormatting sqref="AH25:AH26">
    <cfRule type="duplicateValues" dxfId="8714" priority="4571"/>
  </conditionalFormatting>
  <conditionalFormatting sqref="AH25:AH26">
    <cfRule type="duplicateValues" dxfId="8713" priority="4570"/>
  </conditionalFormatting>
  <conditionalFormatting sqref="AH25:AH26">
    <cfRule type="duplicateValues" dxfId="8712" priority="4569"/>
  </conditionalFormatting>
  <conditionalFormatting sqref="AH25:AH26">
    <cfRule type="duplicateValues" dxfId="8711" priority="4568"/>
  </conditionalFormatting>
  <conditionalFormatting sqref="AH25:AH26">
    <cfRule type="duplicateValues" dxfId="8710" priority="4567"/>
  </conditionalFormatting>
  <conditionalFormatting sqref="AH25:AH26">
    <cfRule type="duplicateValues" dxfId="8709" priority="4566"/>
  </conditionalFormatting>
  <conditionalFormatting sqref="AH25:AH26">
    <cfRule type="duplicateValues" dxfId="8708" priority="4565"/>
  </conditionalFormatting>
  <conditionalFormatting sqref="AH25:AH26">
    <cfRule type="duplicateValues" dxfId="8707" priority="4564"/>
  </conditionalFormatting>
  <conditionalFormatting sqref="AH25:AH26">
    <cfRule type="duplicateValues" dxfId="8706" priority="4563"/>
  </conditionalFormatting>
  <conditionalFormatting sqref="AH25:AH26">
    <cfRule type="duplicateValues" dxfId="8705" priority="4562"/>
  </conditionalFormatting>
  <conditionalFormatting sqref="AH25:AH26">
    <cfRule type="duplicateValues" dxfId="8704" priority="4561"/>
  </conditionalFormatting>
  <conditionalFormatting sqref="AH25:AH26">
    <cfRule type="duplicateValues" dxfId="8703" priority="4560"/>
  </conditionalFormatting>
  <conditionalFormatting sqref="AH25:AH26">
    <cfRule type="duplicateValues" dxfId="8702" priority="4559"/>
  </conditionalFormatting>
  <conditionalFormatting sqref="AH25:AH26">
    <cfRule type="duplicateValues" dxfId="8701" priority="4558"/>
  </conditionalFormatting>
  <conditionalFormatting sqref="AH25:AH26">
    <cfRule type="duplicateValues" dxfId="8700" priority="4557"/>
  </conditionalFormatting>
  <conditionalFormatting sqref="AH25:AH26">
    <cfRule type="duplicateValues" dxfId="8699" priority="4556"/>
  </conditionalFormatting>
  <conditionalFormatting sqref="AH25:AH26">
    <cfRule type="duplicateValues" dxfId="8698" priority="4555"/>
  </conditionalFormatting>
  <conditionalFormatting sqref="AH25:AH26">
    <cfRule type="duplicateValues" dxfId="8697" priority="4554"/>
  </conditionalFormatting>
  <conditionalFormatting sqref="AH25:AH26">
    <cfRule type="duplicateValues" dxfId="8696" priority="4553"/>
  </conditionalFormatting>
  <conditionalFormatting sqref="AH25:AH26">
    <cfRule type="duplicateValues" dxfId="8695" priority="4552"/>
  </conditionalFormatting>
  <conditionalFormatting sqref="AH25:AH26">
    <cfRule type="duplicateValues" dxfId="8694" priority="4551"/>
  </conditionalFormatting>
  <conditionalFormatting sqref="AI25:AI26">
    <cfRule type="duplicateValues" dxfId="8693" priority="4550"/>
  </conditionalFormatting>
  <conditionalFormatting sqref="AI25:AI26">
    <cfRule type="duplicateValues" dxfId="8692" priority="4549"/>
  </conditionalFormatting>
  <conditionalFormatting sqref="AI25:AI26">
    <cfRule type="duplicateValues" dxfId="8691" priority="4548"/>
  </conditionalFormatting>
  <conditionalFormatting sqref="AI25:AI26">
    <cfRule type="duplicateValues" dxfId="8690" priority="4546" stopIfTrue="1"/>
    <cfRule type="duplicateValues" dxfId="8689" priority="4547"/>
  </conditionalFormatting>
  <conditionalFormatting sqref="AI25:AI26">
    <cfRule type="duplicateValues" dxfId="8688" priority="4545"/>
  </conditionalFormatting>
  <conditionalFormatting sqref="AI25:AI26">
    <cfRule type="duplicateValues" dxfId="8687" priority="4544"/>
  </conditionalFormatting>
  <conditionalFormatting sqref="AI25:AI26">
    <cfRule type="duplicateValues" dxfId="8686" priority="4543"/>
  </conditionalFormatting>
  <conditionalFormatting sqref="AI25:AI26">
    <cfRule type="duplicateValues" dxfId="8685" priority="4542"/>
  </conditionalFormatting>
  <conditionalFormatting sqref="AI25:AI26">
    <cfRule type="duplicateValues" dxfId="8684" priority="4540" stopIfTrue="1"/>
    <cfRule type="duplicateValues" dxfId="8683" priority="4541"/>
  </conditionalFormatting>
  <conditionalFormatting sqref="AI25:AI26">
    <cfRule type="duplicateValues" dxfId="8682" priority="4539"/>
  </conditionalFormatting>
  <conditionalFormatting sqref="AI25:AI26">
    <cfRule type="duplicateValues" dxfId="8681" priority="4537" stopIfTrue="1"/>
    <cfRule type="duplicateValues" dxfId="8680" priority="4538"/>
  </conditionalFormatting>
  <conditionalFormatting sqref="AI25:AI26">
    <cfRule type="duplicateValues" dxfId="8679" priority="4536"/>
  </conditionalFormatting>
  <conditionalFormatting sqref="AI25:AI26">
    <cfRule type="duplicateValues" dxfId="8678" priority="4535"/>
  </conditionalFormatting>
  <conditionalFormatting sqref="AI25:AI26">
    <cfRule type="duplicateValues" dxfId="8677" priority="4534"/>
  </conditionalFormatting>
  <conditionalFormatting sqref="AI25:AI26">
    <cfRule type="duplicateValues" dxfId="8676" priority="4532" stopIfTrue="1"/>
    <cfRule type="duplicateValues" dxfId="8675" priority="4533"/>
  </conditionalFormatting>
  <conditionalFormatting sqref="AI25:AI26">
    <cfRule type="duplicateValues" dxfId="8674" priority="4531"/>
  </conditionalFormatting>
  <conditionalFormatting sqref="AI25:AI26">
    <cfRule type="duplicateValues" dxfId="8673" priority="4529" stopIfTrue="1"/>
    <cfRule type="duplicateValues" dxfId="8672" priority="4530"/>
  </conditionalFormatting>
  <conditionalFormatting sqref="AI25:AI26">
    <cfRule type="duplicateValues" dxfId="8671" priority="4528"/>
  </conditionalFormatting>
  <conditionalFormatting sqref="AI25:AI26">
    <cfRule type="duplicateValues" dxfId="8670" priority="4527"/>
  </conditionalFormatting>
  <conditionalFormatting sqref="AI25:AI26">
    <cfRule type="duplicateValues" dxfId="8669" priority="4525" stopIfTrue="1"/>
    <cfRule type="duplicateValues" dxfId="8668" priority="4526"/>
  </conditionalFormatting>
  <conditionalFormatting sqref="AI25:AI26">
    <cfRule type="duplicateValues" dxfId="8667" priority="4524"/>
  </conditionalFormatting>
  <conditionalFormatting sqref="AI25:AI26">
    <cfRule type="duplicateValues" dxfId="8666" priority="4522" stopIfTrue="1"/>
    <cfRule type="duplicateValues" dxfId="8665" priority="4523"/>
  </conditionalFormatting>
  <conditionalFormatting sqref="AI25:AI26">
    <cfRule type="duplicateValues" dxfId="8664" priority="4521"/>
  </conditionalFormatting>
  <conditionalFormatting sqref="AI25:AI26">
    <cfRule type="duplicateValues" dxfId="8663" priority="4520"/>
  </conditionalFormatting>
  <conditionalFormatting sqref="AI25:AI26">
    <cfRule type="duplicateValues" dxfId="8662" priority="4518" stopIfTrue="1"/>
    <cfRule type="duplicateValues" dxfId="8661" priority="4519"/>
  </conditionalFormatting>
  <conditionalFormatting sqref="AI25:AI26">
    <cfRule type="duplicateValues" dxfId="8660" priority="4517"/>
  </conditionalFormatting>
  <conditionalFormatting sqref="AI25:AI26">
    <cfRule type="duplicateValues" dxfId="8659" priority="4516"/>
  </conditionalFormatting>
  <conditionalFormatting sqref="AI25:AI26">
    <cfRule type="duplicateValues" dxfId="8658" priority="4515"/>
  </conditionalFormatting>
  <conditionalFormatting sqref="AI25:AI26">
    <cfRule type="duplicateValues" dxfId="8657" priority="4514"/>
  </conditionalFormatting>
  <conditionalFormatting sqref="AI25:AI26">
    <cfRule type="duplicateValues" dxfId="8656" priority="4513"/>
  </conditionalFormatting>
  <conditionalFormatting sqref="AI25:AI26">
    <cfRule type="duplicateValues" dxfId="8655" priority="4512"/>
  </conditionalFormatting>
  <conditionalFormatting sqref="AI25:AI26">
    <cfRule type="duplicateValues" dxfId="8654" priority="4511"/>
  </conditionalFormatting>
  <conditionalFormatting sqref="AI25:AI26">
    <cfRule type="duplicateValues" dxfId="8653" priority="4510"/>
  </conditionalFormatting>
  <conditionalFormatting sqref="AI25:AI26">
    <cfRule type="duplicateValues" dxfId="8652" priority="4509"/>
  </conditionalFormatting>
  <conditionalFormatting sqref="AI25:AI26">
    <cfRule type="duplicateValues" dxfId="8651" priority="4508"/>
  </conditionalFormatting>
  <conditionalFormatting sqref="AI25:AI26">
    <cfRule type="duplicateValues" dxfId="8650" priority="4507"/>
  </conditionalFormatting>
  <conditionalFormatting sqref="AI25:AI26">
    <cfRule type="duplicateValues" dxfId="8649" priority="4506"/>
  </conditionalFormatting>
  <conditionalFormatting sqref="AI25:AI26">
    <cfRule type="duplicateValues" dxfId="8648" priority="4505"/>
  </conditionalFormatting>
  <conditionalFormatting sqref="AI25:AI26">
    <cfRule type="duplicateValues" dxfId="8647" priority="4504"/>
  </conditionalFormatting>
  <conditionalFormatting sqref="AI25:AI26">
    <cfRule type="duplicateValues" dxfId="8646" priority="4503"/>
  </conditionalFormatting>
  <conditionalFormatting sqref="AI25:AI26">
    <cfRule type="duplicateValues" dxfId="8645" priority="4502"/>
  </conditionalFormatting>
  <conditionalFormatting sqref="AI25:AI26">
    <cfRule type="duplicateValues" dxfId="8644" priority="4501"/>
  </conditionalFormatting>
  <conditionalFormatting sqref="AI25:AI26">
    <cfRule type="duplicateValues" dxfId="8643" priority="4500"/>
  </conditionalFormatting>
  <conditionalFormatting sqref="AI25:AI26">
    <cfRule type="duplicateValues" dxfId="8642" priority="4499"/>
  </conditionalFormatting>
  <conditionalFormatting sqref="AI25:AI26">
    <cfRule type="duplicateValues" dxfId="8641" priority="4498"/>
  </conditionalFormatting>
  <conditionalFormatting sqref="AI25:AI26">
    <cfRule type="duplicateValues" dxfId="8640" priority="4497"/>
  </conditionalFormatting>
  <conditionalFormatting sqref="AI25:AI26">
    <cfRule type="duplicateValues" dxfId="8639" priority="4496"/>
  </conditionalFormatting>
  <conditionalFormatting sqref="AI25:AI26">
    <cfRule type="duplicateValues" dxfId="8638" priority="4495"/>
  </conditionalFormatting>
  <conditionalFormatting sqref="AI25:AI26">
    <cfRule type="duplicateValues" dxfId="8637" priority="4494"/>
  </conditionalFormatting>
  <conditionalFormatting sqref="AI25:AI26">
    <cfRule type="duplicateValues" dxfId="8636" priority="4492" stopIfTrue="1"/>
    <cfRule type="duplicateValues" dxfId="8635" priority="4493"/>
  </conditionalFormatting>
  <conditionalFormatting sqref="AI25:AI26">
    <cfRule type="duplicateValues" dxfId="8634" priority="4491"/>
  </conditionalFormatting>
  <conditionalFormatting sqref="AI25:AI26">
    <cfRule type="duplicateValues" dxfId="8633" priority="4489" stopIfTrue="1"/>
    <cfRule type="duplicateValues" dxfId="8632" priority="4490"/>
  </conditionalFormatting>
  <conditionalFormatting sqref="AI25:AI26">
    <cfRule type="duplicateValues" dxfId="8631" priority="4488"/>
  </conditionalFormatting>
  <conditionalFormatting sqref="AI25:AI26">
    <cfRule type="duplicateValues" dxfId="8630" priority="4486" stopIfTrue="1"/>
    <cfRule type="duplicateValues" dxfId="8629" priority="4487"/>
  </conditionalFormatting>
  <conditionalFormatting sqref="AI25:AI26">
    <cfRule type="duplicateValues" dxfId="8628" priority="4485"/>
  </conditionalFormatting>
  <conditionalFormatting sqref="AI25:AI26">
    <cfRule type="duplicateValues" dxfId="8627" priority="4484"/>
  </conditionalFormatting>
  <conditionalFormatting sqref="AI25:AI26">
    <cfRule type="duplicateValues" dxfId="8626" priority="4482" stopIfTrue="1"/>
    <cfRule type="duplicateValues" dxfId="8625" priority="4483"/>
  </conditionalFormatting>
  <conditionalFormatting sqref="AI25:AI26">
    <cfRule type="duplicateValues" dxfId="8624" priority="4481"/>
  </conditionalFormatting>
  <conditionalFormatting sqref="AI25:AI26">
    <cfRule type="duplicateValues" dxfId="8623" priority="4480"/>
  </conditionalFormatting>
  <conditionalFormatting sqref="AI25:AI26">
    <cfRule type="duplicateValues" dxfId="8622" priority="4478" stopIfTrue="1"/>
    <cfRule type="duplicateValues" dxfId="8621" priority="4479"/>
  </conditionalFormatting>
  <conditionalFormatting sqref="AI25:AI26">
    <cfRule type="duplicateValues" dxfId="8620" priority="4477"/>
  </conditionalFormatting>
  <conditionalFormatting sqref="AI25:AI26">
    <cfRule type="duplicateValues" dxfId="8619" priority="4476"/>
  </conditionalFormatting>
  <conditionalFormatting sqref="AI25:AI26">
    <cfRule type="duplicateValues" dxfId="8618" priority="4475"/>
  </conditionalFormatting>
  <conditionalFormatting sqref="AI25:AI26">
    <cfRule type="duplicateValues" dxfId="8617" priority="4474"/>
  </conditionalFormatting>
  <conditionalFormatting sqref="AI25:AI26">
    <cfRule type="duplicateValues" dxfId="8616" priority="4473"/>
  </conditionalFormatting>
  <conditionalFormatting sqref="AI25:AI26">
    <cfRule type="duplicateValues" dxfId="8615" priority="4472"/>
  </conditionalFormatting>
  <conditionalFormatting sqref="AI25:AI26">
    <cfRule type="duplicateValues" dxfId="8614" priority="4471"/>
  </conditionalFormatting>
  <conditionalFormatting sqref="AI25:AI26">
    <cfRule type="duplicateValues" dxfId="8613" priority="4470"/>
  </conditionalFormatting>
  <conditionalFormatting sqref="AI25:AI26">
    <cfRule type="duplicateValues" dxfId="8612" priority="4469"/>
  </conditionalFormatting>
  <conditionalFormatting sqref="AI25:AI26">
    <cfRule type="duplicateValues" dxfId="8611" priority="4468"/>
  </conditionalFormatting>
  <conditionalFormatting sqref="AI25:AI26">
    <cfRule type="duplicateValues" dxfId="8610" priority="4467"/>
  </conditionalFormatting>
  <conditionalFormatting sqref="AI25:AI26">
    <cfRule type="duplicateValues" dxfId="8609" priority="4466"/>
  </conditionalFormatting>
  <conditionalFormatting sqref="AI25:AI26">
    <cfRule type="duplicateValues" dxfId="8608" priority="4465"/>
  </conditionalFormatting>
  <conditionalFormatting sqref="AI25:AI26">
    <cfRule type="duplicateValues" dxfId="8607" priority="4464"/>
  </conditionalFormatting>
  <conditionalFormatting sqref="AI25:AI26">
    <cfRule type="duplicateValues" dxfId="8606" priority="4463"/>
  </conditionalFormatting>
  <conditionalFormatting sqref="AI25:AI26">
    <cfRule type="duplicateValues" dxfId="8605" priority="4462"/>
  </conditionalFormatting>
  <conditionalFormatting sqref="AI25:AI26">
    <cfRule type="duplicateValues" dxfId="8604" priority="4461"/>
  </conditionalFormatting>
  <conditionalFormatting sqref="AI25:AI26">
    <cfRule type="duplicateValues" dxfId="8603" priority="4460"/>
  </conditionalFormatting>
  <conditionalFormatting sqref="AI25:AI26">
    <cfRule type="duplicateValues" dxfId="8602" priority="4459"/>
  </conditionalFormatting>
  <conditionalFormatting sqref="AI25:AI26">
    <cfRule type="duplicateValues" dxfId="8601" priority="4458"/>
  </conditionalFormatting>
  <conditionalFormatting sqref="AI25:AI26">
    <cfRule type="duplicateValues" dxfId="8600" priority="4457"/>
  </conditionalFormatting>
  <conditionalFormatting sqref="AI25:AI26">
    <cfRule type="duplicateValues" dxfId="8599" priority="4456"/>
  </conditionalFormatting>
  <conditionalFormatting sqref="AI25:AI26">
    <cfRule type="duplicateValues" dxfId="8598" priority="4454" stopIfTrue="1"/>
    <cfRule type="duplicateValues" dxfId="8597" priority="4455"/>
  </conditionalFormatting>
  <conditionalFormatting sqref="AI25:AI26">
    <cfRule type="duplicateValues" dxfId="8596" priority="4453"/>
  </conditionalFormatting>
  <conditionalFormatting sqref="AI25:AI26">
    <cfRule type="duplicateValues" dxfId="8595" priority="4451" stopIfTrue="1"/>
    <cfRule type="duplicateValues" dxfId="8594" priority="4452"/>
  </conditionalFormatting>
  <conditionalFormatting sqref="AI25:AI26">
    <cfRule type="duplicateValues" dxfId="8593" priority="4450"/>
  </conditionalFormatting>
  <conditionalFormatting sqref="AI25:AI26">
    <cfRule type="duplicateValues" dxfId="8592" priority="4448" stopIfTrue="1"/>
    <cfRule type="duplicateValues" dxfId="8591" priority="4449"/>
  </conditionalFormatting>
  <conditionalFormatting sqref="AI25:AI26">
    <cfRule type="duplicateValues" dxfId="8590" priority="4447"/>
  </conditionalFormatting>
  <conditionalFormatting sqref="AI25:AI26">
    <cfRule type="duplicateValues" dxfId="8589" priority="4446"/>
  </conditionalFormatting>
  <conditionalFormatting sqref="AI25:AI26">
    <cfRule type="duplicateValues" dxfId="8588" priority="4444" stopIfTrue="1"/>
    <cfRule type="duplicateValues" dxfId="8587" priority="4445"/>
  </conditionalFormatting>
  <conditionalFormatting sqref="AI25:AI26">
    <cfRule type="duplicateValues" dxfId="8586" priority="4443"/>
  </conditionalFormatting>
  <conditionalFormatting sqref="AI25:AI26">
    <cfRule type="duplicateValues" dxfId="8585" priority="4442"/>
  </conditionalFormatting>
  <conditionalFormatting sqref="AI25:AI26">
    <cfRule type="duplicateValues" dxfId="8584" priority="4440" stopIfTrue="1"/>
    <cfRule type="duplicateValues" dxfId="8583" priority="4441"/>
  </conditionalFormatting>
  <conditionalFormatting sqref="AI25:AI26">
    <cfRule type="duplicateValues" dxfId="8582" priority="4439"/>
  </conditionalFormatting>
  <conditionalFormatting sqref="AI25:AI26">
    <cfRule type="duplicateValues" dxfId="8581" priority="4438"/>
  </conditionalFormatting>
  <conditionalFormatting sqref="AI25:AI26">
    <cfRule type="duplicateValues" dxfId="8580" priority="4437"/>
  </conditionalFormatting>
  <conditionalFormatting sqref="AI25:AI26">
    <cfRule type="duplicateValues" dxfId="8579" priority="4436"/>
  </conditionalFormatting>
  <conditionalFormatting sqref="AI25:AI26">
    <cfRule type="duplicateValues" dxfId="8578" priority="4435"/>
  </conditionalFormatting>
  <conditionalFormatting sqref="AI25:AI26">
    <cfRule type="duplicateValues" dxfId="8577" priority="4434"/>
  </conditionalFormatting>
  <conditionalFormatting sqref="AI25:AI26">
    <cfRule type="duplicateValues" dxfId="8576" priority="4433"/>
  </conditionalFormatting>
  <conditionalFormatting sqref="AI25:AI26">
    <cfRule type="duplicateValues" dxfId="8575" priority="4432"/>
  </conditionalFormatting>
  <conditionalFormatting sqref="AI25:AI26">
    <cfRule type="duplicateValues" dxfId="8574" priority="4431"/>
  </conditionalFormatting>
  <conditionalFormatting sqref="AI25:AI26">
    <cfRule type="duplicateValues" dxfId="8573" priority="4430"/>
  </conditionalFormatting>
  <conditionalFormatting sqref="AI25:AI26">
    <cfRule type="duplicateValues" dxfId="8572" priority="4429"/>
  </conditionalFormatting>
  <conditionalFormatting sqref="AI25:AI26">
    <cfRule type="duplicateValues" dxfId="8571" priority="4428"/>
  </conditionalFormatting>
  <conditionalFormatting sqref="AI25:AI26">
    <cfRule type="duplicateValues" dxfId="8570" priority="4427"/>
  </conditionalFormatting>
  <conditionalFormatting sqref="AI25:AI26">
    <cfRule type="duplicateValues" dxfId="8569" priority="4426"/>
  </conditionalFormatting>
  <conditionalFormatting sqref="AI25:AI26">
    <cfRule type="duplicateValues" dxfId="8568" priority="4425"/>
  </conditionalFormatting>
  <conditionalFormatting sqref="AI25:AI26">
    <cfRule type="duplicateValues" dxfId="8567" priority="4424"/>
  </conditionalFormatting>
  <conditionalFormatting sqref="AI25:AI26">
    <cfRule type="duplicateValues" dxfId="8566" priority="4423"/>
  </conditionalFormatting>
  <conditionalFormatting sqref="AI25:AI26">
    <cfRule type="duplicateValues" dxfId="8565" priority="4422"/>
  </conditionalFormatting>
  <conditionalFormatting sqref="AI25:AI26">
    <cfRule type="duplicateValues" dxfId="8564" priority="4421"/>
  </conditionalFormatting>
  <conditionalFormatting sqref="AI25:AI26">
    <cfRule type="duplicateValues" dxfId="8563" priority="4420"/>
  </conditionalFormatting>
  <conditionalFormatting sqref="AH28:AH29">
    <cfRule type="duplicateValues" dxfId="8562" priority="4419"/>
  </conditionalFormatting>
  <conditionalFormatting sqref="AH21">
    <cfRule type="duplicateValues" dxfId="8561" priority="4418"/>
  </conditionalFormatting>
  <conditionalFormatting sqref="AH21">
    <cfRule type="duplicateValues" dxfId="8560" priority="4417"/>
  </conditionalFormatting>
  <conditionalFormatting sqref="AH21">
    <cfRule type="duplicateValues" dxfId="8559" priority="4416"/>
  </conditionalFormatting>
  <conditionalFormatting sqref="AH21">
    <cfRule type="duplicateValues" dxfId="8558" priority="4415"/>
  </conditionalFormatting>
  <conditionalFormatting sqref="AH21">
    <cfRule type="duplicateValues" dxfId="8557" priority="4414"/>
  </conditionalFormatting>
  <conditionalFormatting sqref="AH21">
    <cfRule type="duplicateValues" dxfId="8556" priority="4413"/>
  </conditionalFormatting>
  <conditionalFormatting sqref="AH21">
    <cfRule type="duplicateValues" dxfId="8555" priority="4412"/>
  </conditionalFormatting>
  <conditionalFormatting sqref="AH21">
    <cfRule type="duplicateValues" dxfId="8554" priority="4411"/>
  </conditionalFormatting>
  <conditionalFormatting sqref="AH21">
    <cfRule type="duplicateValues" dxfId="8553" priority="4410"/>
  </conditionalFormatting>
  <conditionalFormatting sqref="AH21">
    <cfRule type="duplicateValues" dxfId="8552" priority="4409"/>
  </conditionalFormatting>
  <conditionalFormatting sqref="AH21">
    <cfRule type="duplicateValues" dxfId="8551" priority="4408"/>
  </conditionalFormatting>
  <conditionalFormatting sqref="AH21">
    <cfRule type="duplicateValues" dxfId="8550" priority="4407"/>
  </conditionalFormatting>
  <conditionalFormatting sqref="AH21">
    <cfRule type="duplicateValues" dxfId="8549" priority="4406"/>
  </conditionalFormatting>
  <conditionalFormatting sqref="AH21">
    <cfRule type="duplicateValues" dxfId="8548" priority="4405"/>
  </conditionalFormatting>
  <conditionalFormatting sqref="AH21">
    <cfRule type="duplicateValues" dxfId="8547" priority="4404"/>
  </conditionalFormatting>
  <conditionalFormatting sqref="AH21">
    <cfRule type="duplicateValues" dxfId="8546" priority="4403"/>
  </conditionalFormatting>
  <conditionalFormatting sqref="AH21">
    <cfRule type="duplicateValues" dxfId="8545" priority="4402"/>
  </conditionalFormatting>
  <conditionalFormatting sqref="AH21">
    <cfRule type="duplicateValues" dxfId="8544" priority="4401"/>
  </conditionalFormatting>
  <conditionalFormatting sqref="AH21">
    <cfRule type="duplicateValues" dxfId="8543" priority="4400"/>
  </conditionalFormatting>
  <conditionalFormatting sqref="AH21">
    <cfRule type="duplicateValues" dxfId="8542" priority="4399"/>
  </conditionalFormatting>
  <conditionalFormatting sqref="AH21">
    <cfRule type="duplicateValues" dxfId="8541" priority="4398"/>
  </conditionalFormatting>
  <conditionalFormatting sqref="AH21">
    <cfRule type="duplicateValues" dxfId="8540" priority="4397"/>
  </conditionalFormatting>
  <conditionalFormatting sqref="AH21">
    <cfRule type="duplicateValues" dxfId="8539" priority="4396"/>
  </conditionalFormatting>
  <conditionalFormatting sqref="AH21">
    <cfRule type="duplicateValues" dxfId="8538" priority="4395"/>
  </conditionalFormatting>
  <conditionalFormatting sqref="AH21">
    <cfRule type="duplicateValues" dxfId="8537" priority="4394"/>
  </conditionalFormatting>
  <conditionalFormatting sqref="AH21">
    <cfRule type="duplicateValues" dxfId="8536" priority="4393"/>
  </conditionalFormatting>
  <conditionalFormatting sqref="AH21">
    <cfRule type="duplicateValues" dxfId="8535" priority="4392"/>
  </conditionalFormatting>
  <conditionalFormatting sqref="AH21">
    <cfRule type="duplicateValues" dxfId="8534" priority="4391"/>
  </conditionalFormatting>
  <conditionalFormatting sqref="AH21">
    <cfRule type="duplicateValues" dxfId="8533" priority="4390"/>
  </conditionalFormatting>
  <conditionalFormatting sqref="AI24">
    <cfRule type="duplicateValues" dxfId="8532" priority="4389"/>
  </conditionalFormatting>
  <conditionalFormatting sqref="AI24">
    <cfRule type="duplicateValues" dxfId="8531" priority="4388"/>
  </conditionalFormatting>
  <conditionalFormatting sqref="AI24">
    <cfRule type="duplicateValues" dxfId="8530" priority="4386" stopIfTrue="1"/>
    <cfRule type="duplicateValues" dxfId="8529" priority="4387"/>
  </conditionalFormatting>
  <conditionalFormatting sqref="AI24">
    <cfRule type="duplicateValues" dxfId="8528" priority="4385"/>
  </conditionalFormatting>
  <conditionalFormatting sqref="AH17">
    <cfRule type="duplicateValues" dxfId="8527" priority="4384"/>
  </conditionalFormatting>
  <conditionalFormatting sqref="AH17">
    <cfRule type="duplicateValues" dxfId="8526" priority="4383"/>
  </conditionalFormatting>
  <conditionalFormatting sqref="AH17">
    <cfRule type="duplicateValues" dxfId="8525" priority="4382"/>
  </conditionalFormatting>
  <conditionalFormatting sqref="AH17">
    <cfRule type="duplicateValues" dxfId="8524" priority="4381"/>
  </conditionalFormatting>
  <conditionalFormatting sqref="AH17">
    <cfRule type="duplicateValues" dxfId="8523" priority="4380"/>
  </conditionalFormatting>
  <conditionalFormatting sqref="AH17">
    <cfRule type="duplicateValues" dxfId="8522" priority="4379"/>
  </conditionalFormatting>
  <conditionalFormatting sqref="AH17">
    <cfRule type="duplicateValues" dxfId="8521" priority="4378"/>
  </conditionalFormatting>
  <conditionalFormatting sqref="AH17">
    <cfRule type="duplicateValues" dxfId="8520" priority="4377"/>
  </conditionalFormatting>
  <conditionalFormatting sqref="AH17">
    <cfRule type="duplicateValues" dxfId="8519" priority="4376"/>
  </conditionalFormatting>
  <conditionalFormatting sqref="AH17">
    <cfRule type="duplicateValues" dxfId="8518" priority="4375"/>
  </conditionalFormatting>
  <conditionalFormatting sqref="AH17">
    <cfRule type="duplicateValues" dxfId="8517" priority="4374"/>
  </conditionalFormatting>
  <conditionalFormatting sqref="AH17">
    <cfRule type="duplicateValues" dxfId="8516" priority="4373"/>
  </conditionalFormatting>
  <conditionalFormatting sqref="AH17">
    <cfRule type="duplicateValues" dxfId="8515" priority="4372"/>
  </conditionalFormatting>
  <conditionalFormatting sqref="AH17">
    <cfRule type="duplicateValues" dxfId="8514" priority="4371"/>
  </conditionalFormatting>
  <conditionalFormatting sqref="AH17">
    <cfRule type="duplicateValues" dxfId="8513" priority="4370"/>
  </conditionalFormatting>
  <conditionalFormatting sqref="AH17">
    <cfRule type="duplicateValues" dxfId="8512" priority="4369"/>
  </conditionalFormatting>
  <conditionalFormatting sqref="AH17">
    <cfRule type="duplicateValues" dxfId="8511" priority="4368"/>
  </conditionalFormatting>
  <conditionalFormatting sqref="AH17">
    <cfRule type="duplicateValues" dxfId="8510" priority="4367"/>
  </conditionalFormatting>
  <conditionalFormatting sqref="AH17">
    <cfRule type="duplicateValues" dxfId="8509" priority="4366"/>
  </conditionalFormatting>
  <conditionalFormatting sqref="AH17">
    <cfRule type="duplicateValues" dxfId="8508" priority="4365"/>
  </conditionalFormatting>
  <conditionalFormatting sqref="AH17">
    <cfRule type="duplicateValues" dxfId="8507" priority="4364"/>
  </conditionalFormatting>
  <conditionalFormatting sqref="AH17">
    <cfRule type="duplicateValues" dxfId="8506" priority="4363"/>
  </conditionalFormatting>
  <conditionalFormatting sqref="AH17">
    <cfRule type="duplicateValues" dxfId="8505" priority="4362"/>
  </conditionalFormatting>
  <conditionalFormatting sqref="AH17">
    <cfRule type="duplicateValues" dxfId="8504" priority="4361"/>
  </conditionalFormatting>
  <conditionalFormatting sqref="AH17">
    <cfRule type="duplicateValues" dxfId="8503" priority="4360"/>
  </conditionalFormatting>
  <conditionalFormatting sqref="AH17">
    <cfRule type="duplicateValues" dxfId="8502" priority="4359"/>
  </conditionalFormatting>
  <conditionalFormatting sqref="AH17">
    <cfRule type="duplicateValues" dxfId="8501" priority="4358"/>
  </conditionalFormatting>
  <conditionalFormatting sqref="AH17">
    <cfRule type="duplicateValues" dxfId="8500" priority="4357"/>
  </conditionalFormatting>
  <conditionalFormatting sqref="AH17">
    <cfRule type="duplicateValues" dxfId="8499" priority="4356"/>
  </conditionalFormatting>
  <conditionalFormatting sqref="AH17">
    <cfRule type="duplicateValues" dxfId="8498" priority="4355"/>
  </conditionalFormatting>
  <conditionalFormatting sqref="AH17">
    <cfRule type="duplicateValues" dxfId="8497" priority="4354"/>
  </conditionalFormatting>
  <conditionalFormatting sqref="AH17">
    <cfRule type="duplicateValues" dxfId="8496" priority="4353"/>
  </conditionalFormatting>
  <conditionalFormatting sqref="AH17">
    <cfRule type="duplicateValues" dxfId="8495" priority="4352"/>
  </conditionalFormatting>
  <conditionalFormatting sqref="AH17">
    <cfRule type="duplicateValues" dxfId="8494" priority="4351"/>
  </conditionalFormatting>
  <conditionalFormatting sqref="AH17">
    <cfRule type="duplicateValues" dxfId="8493" priority="4350"/>
  </conditionalFormatting>
  <conditionalFormatting sqref="AH17">
    <cfRule type="duplicateValues" dxfId="8492" priority="4349"/>
  </conditionalFormatting>
  <conditionalFormatting sqref="AH17">
    <cfRule type="duplicateValues" dxfId="8491" priority="4348"/>
  </conditionalFormatting>
  <conditionalFormatting sqref="AH17">
    <cfRule type="duplicateValues" dxfId="8490" priority="4347"/>
  </conditionalFormatting>
  <conditionalFormatting sqref="AH17">
    <cfRule type="duplicateValues" dxfId="8489" priority="4346"/>
  </conditionalFormatting>
  <conditionalFormatting sqref="AH17">
    <cfRule type="duplicateValues" dxfId="8488" priority="4345"/>
  </conditionalFormatting>
  <conditionalFormatting sqref="AH17">
    <cfRule type="duplicateValues" dxfId="8487" priority="4344"/>
  </conditionalFormatting>
  <conditionalFormatting sqref="AH17">
    <cfRule type="duplicateValues" dxfId="8486" priority="4343"/>
  </conditionalFormatting>
  <conditionalFormatting sqref="AH17">
    <cfRule type="duplicateValues" dxfId="8485" priority="4342"/>
  </conditionalFormatting>
  <conditionalFormatting sqref="AH17">
    <cfRule type="duplicateValues" dxfId="8484" priority="4341"/>
  </conditionalFormatting>
  <conditionalFormatting sqref="AH17">
    <cfRule type="duplicateValues" dxfId="8483" priority="4340"/>
  </conditionalFormatting>
  <conditionalFormatting sqref="AH17">
    <cfRule type="duplicateValues" dxfId="8482" priority="4339"/>
  </conditionalFormatting>
  <conditionalFormatting sqref="AI17">
    <cfRule type="duplicateValues" dxfId="8481" priority="4338"/>
  </conditionalFormatting>
  <conditionalFormatting sqref="AI17">
    <cfRule type="duplicateValues" dxfId="8480" priority="4337"/>
  </conditionalFormatting>
  <conditionalFormatting sqref="AI17">
    <cfRule type="duplicateValues" dxfId="8479" priority="4335" stopIfTrue="1"/>
    <cfRule type="duplicateValues" dxfId="8478" priority="4336"/>
  </conditionalFormatting>
  <conditionalFormatting sqref="AI17">
    <cfRule type="duplicateValues" dxfId="8477" priority="4334"/>
  </conditionalFormatting>
  <conditionalFormatting sqref="AI17">
    <cfRule type="duplicateValues" dxfId="8476" priority="4332" stopIfTrue="1"/>
    <cfRule type="duplicateValues" dxfId="8475" priority="4333"/>
  </conditionalFormatting>
  <conditionalFormatting sqref="AI17">
    <cfRule type="duplicateValues" dxfId="8474" priority="4331"/>
  </conditionalFormatting>
  <conditionalFormatting sqref="AI17">
    <cfRule type="duplicateValues" dxfId="8473" priority="4329" stopIfTrue="1"/>
    <cfRule type="duplicateValues" dxfId="8472" priority="4330"/>
  </conditionalFormatting>
  <conditionalFormatting sqref="AI17">
    <cfRule type="duplicateValues" dxfId="8471" priority="4328"/>
  </conditionalFormatting>
  <conditionalFormatting sqref="AI17">
    <cfRule type="duplicateValues" dxfId="8470" priority="4327"/>
  </conditionalFormatting>
  <conditionalFormatting sqref="AI17">
    <cfRule type="duplicateValues" dxfId="8469" priority="4325" stopIfTrue="1"/>
    <cfRule type="duplicateValues" dxfId="8468" priority="4326"/>
  </conditionalFormatting>
  <conditionalFormatting sqref="AI17">
    <cfRule type="duplicateValues" dxfId="8467" priority="4324"/>
  </conditionalFormatting>
  <conditionalFormatting sqref="AI17">
    <cfRule type="duplicateValues" dxfId="8466" priority="4322" stopIfTrue="1"/>
    <cfRule type="duplicateValues" dxfId="8465" priority="4323"/>
  </conditionalFormatting>
  <conditionalFormatting sqref="AI17">
    <cfRule type="duplicateValues" dxfId="8464" priority="4321"/>
  </conditionalFormatting>
  <conditionalFormatting sqref="AI17">
    <cfRule type="duplicateValues" dxfId="8463" priority="4319" stopIfTrue="1"/>
    <cfRule type="duplicateValues" dxfId="8462" priority="4320"/>
  </conditionalFormatting>
  <conditionalFormatting sqref="AI17">
    <cfRule type="duplicateValues" dxfId="8461" priority="4318"/>
  </conditionalFormatting>
  <conditionalFormatting sqref="AI17">
    <cfRule type="duplicateValues" dxfId="8460" priority="4317"/>
  </conditionalFormatting>
  <conditionalFormatting sqref="AI17">
    <cfRule type="duplicateValues" dxfId="8459" priority="4315" stopIfTrue="1"/>
    <cfRule type="duplicateValues" dxfId="8458" priority="4316"/>
  </conditionalFormatting>
  <conditionalFormatting sqref="AI17">
    <cfRule type="duplicateValues" dxfId="8457" priority="4314"/>
  </conditionalFormatting>
  <conditionalFormatting sqref="AI17">
    <cfRule type="duplicateValues" dxfId="8456" priority="4312" stopIfTrue="1"/>
    <cfRule type="duplicateValues" dxfId="8455" priority="4313"/>
  </conditionalFormatting>
  <conditionalFormatting sqref="AI17">
    <cfRule type="duplicateValues" dxfId="8454" priority="4311"/>
  </conditionalFormatting>
  <conditionalFormatting sqref="AI17">
    <cfRule type="duplicateValues" dxfId="8453" priority="4310"/>
  </conditionalFormatting>
  <conditionalFormatting sqref="AI17">
    <cfRule type="duplicateValues" dxfId="8452" priority="4308" stopIfTrue="1"/>
    <cfRule type="duplicateValues" dxfId="8451" priority="4309"/>
  </conditionalFormatting>
  <conditionalFormatting sqref="AI17">
    <cfRule type="duplicateValues" dxfId="8450" priority="4307"/>
  </conditionalFormatting>
  <conditionalFormatting sqref="AI17">
    <cfRule type="duplicateValues" dxfId="8449" priority="4305" stopIfTrue="1"/>
    <cfRule type="duplicateValues" dxfId="8448" priority="4306"/>
  </conditionalFormatting>
  <conditionalFormatting sqref="AI17">
    <cfRule type="duplicateValues" dxfId="8447" priority="4304"/>
  </conditionalFormatting>
  <conditionalFormatting sqref="AI17">
    <cfRule type="duplicateValues" dxfId="8446" priority="4303"/>
  </conditionalFormatting>
  <conditionalFormatting sqref="AI17">
    <cfRule type="duplicateValues" dxfId="8445" priority="4301" stopIfTrue="1"/>
    <cfRule type="duplicateValues" dxfId="8444" priority="4302"/>
  </conditionalFormatting>
  <conditionalFormatting sqref="AI17">
    <cfRule type="duplicateValues" dxfId="8443" priority="4300"/>
  </conditionalFormatting>
  <conditionalFormatting sqref="AI17">
    <cfRule type="duplicateValues" dxfId="8442" priority="4298" stopIfTrue="1"/>
    <cfRule type="duplicateValues" dxfId="8441" priority="4299"/>
  </conditionalFormatting>
  <conditionalFormatting sqref="AI17">
    <cfRule type="duplicateValues" dxfId="8440" priority="4297"/>
  </conditionalFormatting>
  <conditionalFormatting sqref="AI17">
    <cfRule type="duplicateValues" dxfId="8439" priority="4296"/>
  </conditionalFormatting>
  <conditionalFormatting sqref="AI17">
    <cfRule type="duplicateValues" dxfId="8438" priority="4294" stopIfTrue="1"/>
    <cfRule type="duplicateValues" dxfId="8437" priority="4295"/>
  </conditionalFormatting>
  <conditionalFormatting sqref="AI17">
    <cfRule type="duplicateValues" dxfId="8436" priority="4293"/>
  </conditionalFormatting>
  <conditionalFormatting sqref="AI17">
    <cfRule type="duplicateValues" dxfId="8435" priority="4291" stopIfTrue="1"/>
    <cfRule type="duplicateValues" dxfId="8434" priority="4292"/>
  </conditionalFormatting>
  <conditionalFormatting sqref="AI17">
    <cfRule type="duplicateValues" dxfId="8433" priority="4290"/>
  </conditionalFormatting>
  <conditionalFormatting sqref="AI17">
    <cfRule type="duplicateValues" dxfId="8432" priority="4289"/>
  </conditionalFormatting>
  <conditionalFormatting sqref="AI17">
    <cfRule type="duplicateValues" dxfId="8431" priority="4287" stopIfTrue="1"/>
    <cfRule type="duplicateValues" dxfId="8430" priority="4288"/>
  </conditionalFormatting>
  <conditionalFormatting sqref="AI17">
    <cfRule type="duplicateValues" dxfId="8429" priority="4286"/>
  </conditionalFormatting>
  <conditionalFormatting sqref="AI17">
    <cfRule type="duplicateValues" dxfId="8428" priority="4284" stopIfTrue="1"/>
    <cfRule type="duplicateValues" dxfId="8427" priority="4285"/>
  </conditionalFormatting>
  <conditionalFormatting sqref="AI17">
    <cfRule type="duplicateValues" dxfId="8426" priority="4283"/>
  </conditionalFormatting>
  <conditionalFormatting sqref="AI17">
    <cfRule type="duplicateValues" dxfId="8425" priority="4282"/>
  </conditionalFormatting>
  <conditionalFormatting sqref="AI17">
    <cfRule type="duplicateValues" dxfId="8424" priority="4280" stopIfTrue="1"/>
    <cfRule type="duplicateValues" dxfId="8423" priority="4281"/>
  </conditionalFormatting>
  <conditionalFormatting sqref="AI17">
    <cfRule type="duplicateValues" dxfId="8422" priority="4279"/>
  </conditionalFormatting>
  <conditionalFormatting sqref="AI17">
    <cfRule type="duplicateValues" dxfId="8421" priority="4277" stopIfTrue="1"/>
    <cfRule type="duplicateValues" dxfId="8420" priority="4278"/>
  </conditionalFormatting>
  <conditionalFormatting sqref="AI17">
    <cfRule type="duplicateValues" dxfId="8419" priority="4276"/>
  </conditionalFormatting>
  <conditionalFormatting sqref="AI17">
    <cfRule type="duplicateValues" dxfId="8418" priority="4275"/>
  </conditionalFormatting>
  <conditionalFormatting sqref="AI17">
    <cfRule type="duplicateValues" dxfId="8417" priority="4274"/>
  </conditionalFormatting>
  <conditionalFormatting sqref="AI17">
    <cfRule type="duplicateValues" dxfId="8416" priority="4273"/>
  </conditionalFormatting>
  <conditionalFormatting sqref="AI17">
    <cfRule type="duplicateValues" dxfId="8415" priority="4271" stopIfTrue="1"/>
    <cfRule type="duplicateValues" dxfId="8414" priority="4272"/>
  </conditionalFormatting>
  <conditionalFormatting sqref="AI17">
    <cfRule type="duplicateValues" dxfId="8413" priority="4270"/>
  </conditionalFormatting>
  <conditionalFormatting sqref="AI17">
    <cfRule type="duplicateValues" dxfId="8412" priority="4269"/>
  </conditionalFormatting>
  <conditionalFormatting sqref="AI17">
    <cfRule type="duplicateValues" dxfId="8411" priority="4267" stopIfTrue="1"/>
    <cfRule type="duplicateValues" dxfId="8410" priority="4268"/>
  </conditionalFormatting>
  <conditionalFormatting sqref="AI17">
    <cfRule type="duplicateValues" dxfId="8409" priority="4266"/>
  </conditionalFormatting>
  <conditionalFormatting sqref="AI17">
    <cfRule type="duplicateValues" dxfId="8408" priority="4264" stopIfTrue="1"/>
    <cfRule type="duplicateValues" dxfId="8407" priority="4265"/>
  </conditionalFormatting>
  <conditionalFormatting sqref="AI17">
    <cfRule type="duplicateValues" dxfId="8406" priority="4263"/>
  </conditionalFormatting>
  <conditionalFormatting sqref="AI17">
    <cfRule type="duplicateValues" dxfId="8405" priority="4261" stopIfTrue="1"/>
    <cfRule type="duplicateValues" dxfId="8404" priority="4262"/>
  </conditionalFormatting>
  <conditionalFormatting sqref="AI17">
    <cfRule type="duplicateValues" dxfId="8403" priority="4260"/>
  </conditionalFormatting>
  <conditionalFormatting sqref="AI17">
    <cfRule type="duplicateValues" dxfId="8402" priority="4259"/>
  </conditionalFormatting>
  <conditionalFormatting sqref="AI17">
    <cfRule type="duplicateValues" dxfId="8401" priority="4258"/>
  </conditionalFormatting>
  <conditionalFormatting sqref="AI17">
    <cfRule type="duplicateValues" dxfId="8400" priority="4257"/>
  </conditionalFormatting>
  <conditionalFormatting sqref="AI17">
    <cfRule type="duplicateValues" dxfId="8399" priority="4256"/>
  </conditionalFormatting>
  <conditionalFormatting sqref="AI17">
    <cfRule type="duplicateValues" dxfId="8398" priority="4255"/>
  </conditionalFormatting>
  <conditionalFormatting sqref="AI17">
    <cfRule type="duplicateValues" dxfId="8397" priority="4254"/>
  </conditionalFormatting>
  <conditionalFormatting sqref="AI17">
    <cfRule type="duplicateValues" dxfId="8396" priority="4253"/>
  </conditionalFormatting>
  <conditionalFormatting sqref="AI17">
    <cfRule type="duplicateValues" dxfId="8395" priority="4252"/>
  </conditionalFormatting>
  <conditionalFormatting sqref="AI17">
    <cfRule type="duplicateValues" dxfId="8394" priority="4251"/>
  </conditionalFormatting>
  <conditionalFormatting sqref="AI17">
    <cfRule type="duplicateValues" dxfId="8393" priority="4249" stopIfTrue="1"/>
    <cfRule type="duplicateValues" dxfId="8392" priority="4250"/>
  </conditionalFormatting>
  <conditionalFormatting sqref="AI17">
    <cfRule type="duplicateValues" dxfId="8391" priority="4248"/>
  </conditionalFormatting>
  <conditionalFormatting sqref="AI17">
    <cfRule type="duplicateValues" dxfId="8390" priority="4247"/>
  </conditionalFormatting>
  <conditionalFormatting sqref="AI17">
    <cfRule type="duplicateValues" dxfId="8389" priority="4245" stopIfTrue="1"/>
    <cfRule type="duplicateValues" dxfId="8388" priority="4246"/>
  </conditionalFormatting>
  <conditionalFormatting sqref="AI17">
    <cfRule type="duplicateValues" dxfId="8387" priority="4244"/>
  </conditionalFormatting>
  <conditionalFormatting sqref="AI17">
    <cfRule type="duplicateValues" dxfId="8386" priority="4242" stopIfTrue="1"/>
    <cfRule type="duplicateValues" dxfId="8385" priority="4243"/>
  </conditionalFormatting>
  <conditionalFormatting sqref="AI17">
    <cfRule type="duplicateValues" dxfId="8384" priority="4241"/>
  </conditionalFormatting>
  <conditionalFormatting sqref="AI17">
    <cfRule type="duplicateValues" dxfId="8383" priority="4239" stopIfTrue="1"/>
    <cfRule type="duplicateValues" dxfId="8382" priority="4240"/>
  </conditionalFormatting>
  <conditionalFormatting sqref="AI17">
    <cfRule type="duplicateValues" dxfId="8381" priority="4238"/>
  </conditionalFormatting>
  <conditionalFormatting sqref="AI17">
    <cfRule type="duplicateValues" dxfId="8380" priority="4237"/>
  </conditionalFormatting>
  <conditionalFormatting sqref="AI17">
    <cfRule type="duplicateValues" dxfId="8379" priority="4236"/>
  </conditionalFormatting>
  <conditionalFormatting sqref="AI17">
    <cfRule type="duplicateValues" dxfId="8378" priority="4235"/>
  </conditionalFormatting>
  <conditionalFormatting sqref="AI17">
    <cfRule type="duplicateValues" dxfId="8377" priority="4234"/>
  </conditionalFormatting>
  <conditionalFormatting sqref="AI17">
    <cfRule type="duplicateValues" dxfId="8376" priority="4233"/>
  </conditionalFormatting>
  <conditionalFormatting sqref="AI17">
    <cfRule type="duplicateValues" dxfId="8375" priority="4232"/>
  </conditionalFormatting>
  <conditionalFormatting sqref="AI17">
    <cfRule type="duplicateValues" dxfId="8374" priority="4231"/>
  </conditionalFormatting>
  <conditionalFormatting sqref="AI17">
    <cfRule type="duplicateValues" dxfId="8373" priority="4230"/>
  </conditionalFormatting>
  <conditionalFormatting sqref="AI17">
    <cfRule type="duplicateValues" dxfId="8372" priority="4228" stopIfTrue="1"/>
    <cfRule type="duplicateValues" dxfId="8371" priority="4229"/>
  </conditionalFormatting>
  <conditionalFormatting sqref="AI17">
    <cfRule type="duplicateValues" dxfId="8370" priority="4227"/>
  </conditionalFormatting>
  <conditionalFormatting sqref="AI17">
    <cfRule type="duplicateValues" dxfId="8369" priority="4225" stopIfTrue="1"/>
    <cfRule type="duplicateValues" dxfId="8368" priority="4226"/>
  </conditionalFormatting>
  <conditionalFormatting sqref="AI17">
    <cfRule type="duplicateValues" dxfId="8367" priority="4224"/>
  </conditionalFormatting>
  <conditionalFormatting sqref="AI17">
    <cfRule type="duplicateValues" dxfId="8366" priority="4223"/>
  </conditionalFormatting>
  <conditionalFormatting sqref="AI17">
    <cfRule type="duplicateValues" dxfId="8365" priority="4221" stopIfTrue="1"/>
    <cfRule type="duplicateValues" dxfId="8364" priority="4222"/>
  </conditionalFormatting>
  <conditionalFormatting sqref="AI17">
    <cfRule type="duplicateValues" dxfId="8363" priority="4220"/>
  </conditionalFormatting>
  <conditionalFormatting sqref="AI17">
    <cfRule type="duplicateValues" dxfId="8362" priority="4218" stopIfTrue="1"/>
    <cfRule type="duplicateValues" dxfId="8361" priority="4219"/>
  </conditionalFormatting>
  <conditionalFormatting sqref="AI17">
    <cfRule type="duplicateValues" dxfId="8360" priority="4217"/>
  </conditionalFormatting>
  <conditionalFormatting sqref="AI17">
    <cfRule type="duplicateValues" dxfId="8359" priority="4216"/>
  </conditionalFormatting>
  <conditionalFormatting sqref="AI17">
    <cfRule type="duplicateValues" dxfId="8358" priority="4214" stopIfTrue="1"/>
    <cfRule type="duplicateValues" dxfId="8357" priority="4215"/>
  </conditionalFormatting>
  <conditionalFormatting sqref="AI17">
    <cfRule type="duplicateValues" dxfId="8356" priority="4213"/>
  </conditionalFormatting>
  <conditionalFormatting sqref="AI17">
    <cfRule type="duplicateValues" dxfId="8355" priority="4211" stopIfTrue="1"/>
    <cfRule type="duplicateValues" dxfId="8354" priority="4212"/>
  </conditionalFormatting>
  <conditionalFormatting sqref="AI17">
    <cfRule type="duplicateValues" dxfId="8353" priority="4210"/>
  </conditionalFormatting>
  <conditionalFormatting sqref="AI17">
    <cfRule type="duplicateValues" dxfId="8352" priority="4209"/>
  </conditionalFormatting>
  <conditionalFormatting sqref="AI17">
    <cfRule type="duplicateValues" dxfId="8351" priority="4207" stopIfTrue="1"/>
    <cfRule type="duplicateValues" dxfId="8350" priority="4208"/>
  </conditionalFormatting>
  <conditionalFormatting sqref="AI17">
    <cfRule type="duplicateValues" dxfId="8349" priority="4206"/>
  </conditionalFormatting>
  <conditionalFormatting sqref="AI17">
    <cfRule type="duplicateValues" dxfId="8348" priority="4204" stopIfTrue="1"/>
    <cfRule type="duplicateValues" dxfId="8347" priority="4205"/>
  </conditionalFormatting>
  <conditionalFormatting sqref="AI17">
    <cfRule type="duplicateValues" dxfId="8346" priority="4203"/>
  </conditionalFormatting>
  <conditionalFormatting sqref="AI17">
    <cfRule type="duplicateValues" dxfId="8345" priority="4202"/>
  </conditionalFormatting>
  <conditionalFormatting sqref="AI17">
    <cfRule type="duplicateValues" dxfId="8344" priority="4200" stopIfTrue="1"/>
    <cfRule type="duplicateValues" dxfId="8343" priority="4201"/>
  </conditionalFormatting>
  <conditionalFormatting sqref="AI17">
    <cfRule type="duplicateValues" dxfId="8342" priority="4199"/>
  </conditionalFormatting>
  <conditionalFormatting sqref="AI17">
    <cfRule type="duplicateValues" dxfId="8341" priority="4197" stopIfTrue="1"/>
    <cfRule type="duplicateValues" dxfId="8340" priority="4198"/>
  </conditionalFormatting>
  <conditionalFormatting sqref="AI17">
    <cfRule type="duplicateValues" dxfId="8339" priority="4196"/>
  </conditionalFormatting>
  <conditionalFormatting sqref="AI17">
    <cfRule type="duplicateValues" dxfId="8338" priority="4195"/>
  </conditionalFormatting>
  <conditionalFormatting sqref="AI17">
    <cfRule type="duplicateValues" dxfId="8337" priority="4193" stopIfTrue="1"/>
    <cfRule type="duplicateValues" dxfId="8336" priority="4194"/>
  </conditionalFormatting>
  <conditionalFormatting sqref="AI17">
    <cfRule type="duplicateValues" dxfId="8335" priority="4192"/>
  </conditionalFormatting>
  <conditionalFormatting sqref="AI17">
    <cfRule type="duplicateValues" dxfId="8334" priority="4190" stopIfTrue="1"/>
    <cfRule type="duplicateValues" dxfId="8333" priority="4191"/>
  </conditionalFormatting>
  <conditionalFormatting sqref="AI17">
    <cfRule type="duplicateValues" dxfId="8332" priority="4189"/>
  </conditionalFormatting>
  <conditionalFormatting sqref="AI17">
    <cfRule type="duplicateValues" dxfId="8331" priority="4188"/>
  </conditionalFormatting>
  <conditionalFormatting sqref="AI17">
    <cfRule type="duplicateValues" dxfId="8330" priority="4186" stopIfTrue="1"/>
    <cfRule type="duplicateValues" dxfId="8329" priority="4187"/>
  </conditionalFormatting>
  <conditionalFormatting sqref="AI17">
    <cfRule type="duplicateValues" dxfId="8328" priority="4185"/>
  </conditionalFormatting>
  <conditionalFormatting sqref="AI17">
    <cfRule type="duplicateValues" dxfId="8327" priority="4183" stopIfTrue="1"/>
    <cfRule type="duplicateValues" dxfId="8326" priority="4184"/>
  </conditionalFormatting>
  <conditionalFormatting sqref="AI17">
    <cfRule type="duplicateValues" dxfId="8325" priority="4182"/>
  </conditionalFormatting>
  <conditionalFormatting sqref="AI17">
    <cfRule type="duplicateValues" dxfId="8324" priority="4181"/>
  </conditionalFormatting>
  <conditionalFormatting sqref="AI17">
    <cfRule type="duplicateValues" dxfId="8323" priority="4179" stopIfTrue="1"/>
    <cfRule type="duplicateValues" dxfId="8322" priority="4180"/>
  </conditionalFormatting>
  <conditionalFormatting sqref="AI17">
    <cfRule type="duplicateValues" dxfId="8321" priority="4178"/>
  </conditionalFormatting>
  <conditionalFormatting sqref="AI17">
    <cfRule type="duplicateValues" dxfId="8320" priority="4176" stopIfTrue="1"/>
    <cfRule type="duplicateValues" dxfId="8319" priority="4177"/>
  </conditionalFormatting>
  <conditionalFormatting sqref="AI17">
    <cfRule type="duplicateValues" dxfId="8318" priority="4175"/>
  </conditionalFormatting>
  <conditionalFormatting sqref="AI17">
    <cfRule type="duplicateValues" dxfId="8317" priority="4174"/>
  </conditionalFormatting>
  <conditionalFormatting sqref="AH14">
    <cfRule type="duplicateValues" dxfId="8316" priority="4173"/>
  </conditionalFormatting>
  <conditionalFormatting sqref="AI14">
    <cfRule type="duplicateValues" dxfId="8315" priority="4172"/>
  </conditionalFormatting>
  <conditionalFormatting sqref="AI14">
    <cfRule type="duplicateValues" dxfId="8314" priority="4170" stopIfTrue="1"/>
    <cfRule type="duplicateValues" dxfId="8313" priority="4171"/>
  </conditionalFormatting>
  <conditionalFormatting sqref="AI14">
    <cfRule type="duplicateValues" dxfId="8312" priority="4169"/>
  </conditionalFormatting>
  <conditionalFormatting sqref="AI14">
    <cfRule type="duplicateValues" dxfId="8311" priority="4168"/>
  </conditionalFormatting>
  <conditionalFormatting sqref="AI14">
    <cfRule type="duplicateValues" dxfId="8310" priority="4167"/>
  </conditionalFormatting>
  <conditionalFormatting sqref="AI14">
    <cfRule type="duplicateValues" dxfId="8309" priority="4166"/>
  </conditionalFormatting>
  <conditionalFormatting sqref="AI14">
    <cfRule type="duplicateValues" dxfId="8308" priority="4165"/>
  </conditionalFormatting>
  <conditionalFormatting sqref="AI14">
    <cfRule type="duplicateValues" dxfId="8307" priority="4163" stopIfTrue="1"/>
    <cfRule type="duplicateValues" dxfId="8306" priority="4164"/>
  </conditionalFormatting>
  <conditionalFormatting sqref="AI14">
    <cfRule type="duplicateValues" dxfId="8305" priority="4162"/>
  </conditionalFormatting>
  <conditionalFormatting sqref="AI14">
    <cfRule type="duplicateValues" dxfId="8304" priority="4160" stopIfTrue="1"/>
    <cfRule type="duplicateValues" dxfId="8303" priority="4161"/>
  </conditionalFormatting>
  <conditionalFormatting sqref="AI14">
    <cfRule type="duplicateValues" dxfId="8302" priority="4159"/>
  </conditionalFormatting>
  <conditionalFormatting sqref="AI14">
    <cfRule type="duplicateValues" dxfId="8301" priority="4157" stopIfTrue="1"/>
    <cfRule type="duplicateValues" dxfId="8300" priority="4158"/>
  </conditionalFormatting>
  <conditionalFormatting sqref="AI14">
    <cfRule type="duplicateValues" dxfId="8299" priority="4156"/>
  </conditionalFormatting>
  <conditionalFormatting sqref="AI14">
    <cfRule type="duplicateValues" dxfId="8298" priority="4155"/>
  </conditionalFormatting>
  <conditionalFormatting sqref="AI14">
    <cfRule type="duplicateValues" dxfId="8297" priority="4154"/>
  </conditionalFormatting>
  <conditionalFormatting sqref="AI14">
    <cfRule type="duplicateValues" dxfId="8296" priority="4153"/>
  </conditionalFormatting>
  <conditionalFormatting sqref="AI14">
    <cfRule type="duplicateValues" dxfId="8295" priority="4152"/>
  </conditionalFormatting>
  <conditionalFormatting sqref="AI14">
    <cfRule type="duplicateValues" dxfId="8294" priority="4151"/>
  </conditionalFormatting>
  <conditionalFormatting sqref="AI14">
    <cfRule type="duplicateValues" dxfId="8293" priority="4150"/>
  </conditionalFormatting>
  <conditionalFormatting sqref="AI14">
    <cfRule type="duplicateValues" dxfId="8292" priority="4149"/>
  </conditionalFormatting>
  <conditionalFormatting sqref="AI14">
    <cfRule type="duplicateValues" dxfId="8291" priority="4148"/>
  </conditionalFormatting>
  <conditionalFormatting sqref="AI14">
    <cfRule type="duplicateValues" dxfId="8290" priority="4147"/>
  </conditionalFormatting>
  <conditionalFormatting sqref="AI14">
    <cfRule type="duplicateValues" dxfId="8289" priority="4146"/>
  </conditionalFormatting>
  <conditionalFormatting sqref="AI14">
    <cfRule type="duplicateValues" dxfId="8288" priority="4145"/>
  </conditionalFormatting>
  <conditionalFormatting sqref="AI14">
    <cfRule type="duplicateValues" dxfId="8287" priority="4144"/>
  </conditionalFormatting>
  <conditionalFormatting sqref="AI14">
    <cfRule type="duplicateValues" dxfId="8286" priority="4143"/>
  </conditionalFormatting>
  <conditionalFormatting sqref="AI14">
    <cfRule type="duplicateValues" dxfId="8285" priority="4142"/>
  </conditionalFormatting>
  <conditionalFormatting sqref="AI14">
    <cfRule type="duplicateValues" dxfId="8284" priority="4141"/>
  </conditionalFormatting>
  <conditionalFormatting sqref="AI14">
    <cfRule type="duplicateValues" dxfId="8283" priority="4140"/>
  </conditionalFormatting>
  <conditionalFormatting sqref="AI14">
    <cfRule type="duplicateValues" dxfId="8282" priority="4139"/>
  </conditionalFormatting>
  <conditionalFormatting sqref="AI14">
    <cfRule type="duplicateValues" dxfId="8281" priority="4138"/>
  </conditionalFormatting>
  <conditionalFormatting sqref="AI14">
    <cfRule type="duplicateValues" dxfId="8280" priority="4137"/>
  </conditionalFormatting>
  <conditionalFormatting sqref="AI14">
    <cfRule type="duplicateValues" dxfId="8279" priority="4136"/>
  </conditionalFormatting>
  <conditionalFormatting sqref="AI14">
    <cfRule type="duplicateValues" dxfId="8278" priority="4135"/>
  </conditionalFormatting>
  <conditionalFormatting sqref="AI14">
    <cfRule type="duplicateValues" dxfId="8277" priority="4134"/>
  </conditionalFormatting>
  <conditionalFormatting sqref="AI14">
    <cfRule type="duplicateValues" dxfId="8276" priority="4132" stopIfTrue="1"/>
    <cfRule type="duplicateValues" dxfId="8275" priority="4133"/>
  </conditionalFormatting>
  <conditionalFormatting sqref="AI14">
    <cfRule type="duplicateValues" dxfId="8274" priority="4131"/>
  </conditionalFormatting>
  <conditionalFormatting sqref="AI14">
    <cfRule type="duplicateValues" dxfId="8273" priority="4130"/>
  </conditionalFormatting>
  <conditionalFormatting sqref="AI14">
    <cfRule type="duplicateValues" dxfId="8272" priority="4128" stopIfTrue="1"/>
    <cfRule type="duplicateValues" dxfId="8271" priority="4129"/>
  </conditionalFormatting>
  <conditionalFormatting sqref="AI14">
    <cfRule type="duplicateValues" dxfId="8270" priority="4127"/>
  </conditionalFormatting>
  <conditionalFormatting sqref="AI14">
    <cfRule type="duplicateValues" dxfId="8269" priority="4125" stopIfTrue="1"/>
    <cfRule type="duplicateValues" dxfId="8268" priority="4126"/>
  </conditionalFormatting>
  <conditionalFormatting sqref="AI14">
    <cfRule type="duplicateValues" dxfId="8267" priority="4124"/>
  </conditionalFormatting>
  <conditionalFormatting sqref="AI14">
    <cfRule type="duplicateValues" dxfId="8266" priority="4122" stopIfTrue="1"/>
    <cfRule type="duplicateValues" dxfId="8265" priority="4123"/>
  </conditionalFormatting>
  <conditionalFormatting sqref="AH16">
    <cfRule type="duplicateValues" dxfId="8264" priority="4121"/>
  </conditionalFormatting>
  <conditionalFormatting sqref="AH16">
    <cfRule type="duplicateValues" dxfId="8263" priority="4120"/>
  </conditionalFormatting>
  <conditionalFormatting sqref="AH16">
    <cfRule type="duplicateValues" dxfId="8262" priority="4119"/>
  </conditionalFormatting>
  <conditionalFormatting sqref="AH16">
    <cfRule type="duplicateValues" dxfId="8261" priority="4118"/>
  </conditionalFormatting>
  <conditionalFormatting sqref="AH16">
    <cfRule type="duplicateValues" dxfId="8260" priority="4117"/>
  </conditionalFormatting>
  <conditionalFormatting sqref="AH16">
    <cfRule type="duplicateValues" dxfId="8259" priority="4116"/>
  </conditionalFormatting>
  <conditionalFormatting sqref="AH16">
    <cfRule type="duplicateValues" dxfId="8258" priority="4115"/>
  </conditionalFormatting>
  <conditionalFormatting sqref="AH16">
    <cfRule type="duplicateValues" dxfId="8257" priority="4114"/>
  </conditionalFormatting>
  <conditionalFormatting sqref="AH16">
    <cfRule type="duplicateValues" dxfId="8256" priority="4113"/>
  </conditionalFormatting>
  <conditionalFormatting sqref="AH16">
    <cfRule type="duplicateValues" dxfId="8255" priority="4112"/>
  </conditionalFormatting>
  <conditionalFormatting sqref="AH16">
    <cfRule type="duplicateValues" dxfId="8254" priority="4111"/>
  </conditionalFormatting>
  <conditionalFormatting sqref="AH16">
    <cfRule type="duplicateValues" dxfId="8253" priority="4110"/>
  </conditionalFormatting>
  <conditionalFormatting sqref="AH16">
    <cfRule type="duplicateValues" dxfId="8252" priority="4109"/>
  </conditionalFormatting>
  <conditionalFormatting sqref="AH16">
    <cfRule type="duplicateValues" dxfId="8251" priority="4108"/>
  </conditionalFormatting>
  <conditionalFormatting sqref="AH16">
    <cfRule type="duplicateValues" dxfId="8250" priority="4107"/>
  </conditionalFormatting>
  <conditionalFormatting sqref="AH16">
    <cfRule type="duplicateValues" dxfId="8249" priority="4106"/>
  </conditionalFormatting>
  <conditionalFormatting sqref="AH16">
    <cfRule type="duplicateValues" dxfId="8248" priority="4105"/>
  </conditionalFormatting>
  <conditionalFormatting sqref="AH16">
    <cfRule type="duplicateValues" dxfId="8247" priority="4104"/>
  </conditionalFormatting>
  <conditionalFormatting sqref="AH16">
    <cfRule type="duplicateValues" dxfId="8246" priority="4103"/>
  </conditionalFormatting>
  <conditionalFormatting sqref="AH16">
    <cfRule type="duplicateValues" dxfId="8245" priority="4102"/>
  </conditionalFormatting>
  <conditionalFormatting sqref="AH16">
    <cfRule type="duplicateValues" dxfId="8244" priority="4101"/>
  </conditionalFormatting>
  <conditionalFormatting sqref="AH16">
    <cfRule type="duplicateValues" dxfId="8243" priority="4100"/>
  </conditionalFormatting>
  <conditionalFormatting sqref="AH16">
    <cfRule type="duplicateValues" dxfId="8242" priority="4099"/>
  </conditionalFormatting>
  <conditionalFormatting sqref="AH16">
    <cfRule type="duplicateValues" dxfId="8241" priority="4098"/>
  </conditionalFormatting>
  <conditionalFormatting sqref="AH16">
    <cfRule type="duplicateValues" dxfId="8240" priority="4097"/>
  </conditionalFormatting>
  <conditionalFormatting sqref="AH16">
    <cfRule type="duplicateValues" dxfId="8239" priority="4096"/>
  </conditionalFormatting>
  <conditionalFormatting sqref="AH16">
    <cfRule type="duplicateValues" dxfId="8238" priority="4095"/>
  </conditionalFormatting>
  <conditionalFormatting sqref="AH16">
    <cfRule type="duplicateValues" dxfId="8237" priority="4094"/>
  </conditionalFormatting>
  <conditionalFormatting sqref="AH16">
    <cfRule type="duplicateValues" dxfId="8236" priority="4093"/>
  </conditionalFormatting>
  <conditionalFormatting sqref="AH16">
    <cfRule type="duplicateValues" dxfId="8235" priority="4092"/>
  </conditionalFormatting>
  <conditionalFormatting sqref="AH16">
    <cfRule type="duplicateValues" dxfId="8234" priority="4091"/>
  </conditionalFormatting>
  <conditionalFormatting sqref="AH16">
    <cfRule type="duplicateValues" dxfId="8233" priority="4090"/>
  </conditionalFormatting>
  <conditionalFormatting sqref="AH16">
    <cfRule type="duplicateValues" dxfId="8232" priority="4089"/>
  </conditionalFormatting>
  <conditionalFormatting sqref="AH16">
    <cfRule type="duplicateValues" dxfId="8231" priority="4088"/>
  </conditionalFormatting>
  <conditionalFormatting sqref="AI16">
    <cfRule type="duplicateValues" dxfId="8230" priority="4087"/>
  </conditionalFormatting>
  <conditionalFormatting sqref="AI16">
    <cfRule type="duplicateValues" dxfId="8229" priority="4086"/>
  </conditionalFormatting>
  <conditionalFormatting sqref="AI16">
    <cfRule type="duplicateValues" dxfId="8228" priority="4085"/>
  </conditionalFormatting>
  <conditionalFormatting sqref="AI16">
    <cfRule type="duplicateValues" dxfId="8227" priority="4084"/>
  </conditionalFormatting>
  <conditionalFormatting sqref="AI16">
    <cfRule type="duplicateValues" dxfId="8226" priority="4082" stopIfTrue="1"/>
    <cfRule type="duplicateValues" dxfId="8225" priority="4083"/>
  </conditionalFormatting>
  <conditionalFormatting sqref="AI16">
    <cfRule type="duplicateValues" dxfId="8224" priority="4081"/>
  </conditionalFormatting>
  <conditionalFormatting sqref="AI16">
    <cfRule type="duplicateValues" dxfId="8223" priority="4079" stopIfTrue="1"/>
    <cfRule type="duplicateValues" dxfId="8222" priority="4080"/>
  </conditionalFormatting>
  <conditionalFormatting sqref="AI16">
    <cfRule type="duplicateValues" dxfId="8221" priority="4077" stopIfTrue="1"/>
    <cfRule type="duplicateValues" dxfId="8220" priority="4078"/>
  </conditionalFormatting>
  <conditionalFormatting sqref="AI16">
    <cfRule type="duplicateValues" dxfId="8219" priority="4075" stopIfTrue="1"/>
    <cfRule type="duplicateValues" dxfId="8218" priority="4076"/>
  </conditionalFormatting>
  <conditionalFormatting sqref="AI16">
    <cfRule type="duplicateValues" dxfId="8217" priority="4074"/>
  </conditionalFormatting>
  <conditionalFormatting sqref="AH15">
    <cfRule type="duplicateValues" dxfId="8216" priority="4073"/>
  </conditionalFormatting>
  <conditionalFormatting sqref="AH15">
    <cfRule type="duplicateValues" dxfId="8215" priority="4072"/>
  </conditionalFormatting>
  <conditionalFormatting sqref="AH15">
    <cfRule type="duplicateValues" dxfId="8214" priority="4071"/>
  </conditionalFormatting>
  <conditionalFormatting sqref="AH15">
    <cfRule type="duplicateValues" dxfId="8213" priority="4070"/>
  </conditionalFormatting>
  <conditionalFormatting sqref="AH15">
    <cfRule type="duplicateValues" dxfId="8212" priority="4069"/>
  </conditionalFormatting>
  <conditionalFormatting sqref="AH15">
    <cfRule type="duplicateValues" dxfId="8211" priority="4068"/>
  </conditionalFormatting>
  <conditionalFormatting sqref="AH15">
    <cfRule type="duplicateValues" dxfId="8210" priority="4067"/>
  </conditionalFormatting>
  <conditionalFormatting sqref="AH15">
    <cfRule type="duplicateValues" dxfId="8209" priority="4066"/>
  </conditionalFormatting>
  <conditionalFormatting sqref="AH15">
    <cfRule type="duplicateValues" dxfId="8208" priority="4065"/>
  </conditionalFormatting>
  <conditionalFormatting sqref="AH15">
    <cfRule type="duplicateValues" dxfId="8207" priority="4064"/>
  </conditionalFormatting>
  <conditionalFormatting sqref="AH15">
    <cfRule type="duplicateValues" dxfId="8206" priority="4063"/>
  </conditionalFormatting>
  <conditionalFormatting sqref="AH15">
    <cfRule type="duplicateValues" dxfId="8205" priority="4062"/>
  </conditionalFormatting>
  <conditionalFormatting sqref="AH15">
    <cfRule type="duplicateValues" dxfId="8204" priority="4061"/>
  </conditionalFormatting>
  <conditionalFormatting sqref="AH15">
    <cfRule type="duplicateValues" dxfId="8203" priority="4060"/>
  </conditionalFormatting>
  <conditionalFormatting sqref="AH15">
    <cfRule type="duplicateValues" dxfId="8202" priority="4059"/>
  </conditionalFormatting>
  <conditionalFormatting sqref="AH15">
    <cfRule type="duplicateValues" dxfId="8201" priority="4058"/>
  </conditionalFormatting>
  <conditionalFormatting sqref="AH15">
    <cfRule type="duplicateValues" dxfId="8200" priority="4057"/>
  </conditionalFormatting>
  <conditionalFormatting sqref="AH15">
    <cfRule type="duplicateValues" dxfId="8199" priority="4056"/>
  </conditionalFormatting>
  <conditionalFormatting sqref="AH15">
    <cfRule type="duplicateValues" dxfId="8198" priority="4055"/>
  </conditionalFormatting>
  <conditionalFormatting sqref="AH15">
    <cfRule type="duplicateValues" dxfId="8197" priority="4054"/>
  </conditionalFormatting>
  <conditionalFormatting sqref="AH15">
    <cfRule type="duplicateValues" dxfId="8196" priority="4053"/>
  </conditionalFormatting>
  <conditionalFormatting sqref="AH15">
    <cfRule type="duplicateValues" dxfId="8195" priority="4052"/>
  </conditionalFormatting>
  <conditionalFormatting sqref="AH15">
    <cfRule type="duplicateValues" dxfId="8194" priority="4051"/>
  </conditionalFormatting>
  <conditionalFormatting sqref="AH15">
    <cfRule type="duplicateValues" dxfId="8193" priority="4050"/>
  </conditionalFormatting>
  <conditionalFormatting sqref="AI15">
    <cfRule type="duplicateValues" dxfId="8192" priority="4049"/>
  </conditionalFormatting>
  <conditionalFormatting sqref="AI15">
    <cfRule type="duplicateValues" dxfId="8191" priority="4047" stopIfTrue="1"/>
    <cfRule type="duplicateValues" dxfId="8190" priority="4048"/>
  </conditionalFormatting>
  <conditionalFormatting sqref="AI15">
    <cfRule type="duplicateValues" dxfId="8189" priority="4046"/>
  </conditionalFormatting>
  <conditionalFormatting sqref="AI15">
    <cfRule type="duplicateValues" dxfId="8188" priority="4044" stopIfTrue="1"/>
    <cfRule type="duplicateValues" dxfId="8187" priority="4045"/>
  </conditionalFormatting>
  <conditionalFormatting sqref="AI15">
    <cfRule type="duplicateValues" dxfId="8186" priority="4043"/>
  </conditionalFormatting>
  <conditionalFormatting sqref="AI15">
    <cfRule type="duplicateValues" dxfId="8185" priority="4042"/>
  </conditionalFormatting>
  <conditionalFormatting sqref="AI15">
    <cfRule type="duplicateValues" dxfId="8184" priority="4041"/>
  </conditionalFormatting>
  <conditionalFormatting sqref="AI15">
    <cfRule type="duplicateValues" dxfId="8183" priority="4040"/>
  </conditionalFormatting>
  <conditionalFormatting sqref="AI15">
    <cfRule type="duplicateValues" dxfId="8182" priority="4038" stopIfTrue="1"/>
    <cfRule type="duplicateValues" dxfId="8181" priority="4039"/>
  </conditionalFormatting>
  <conditionalFormatting sqref="AI15">
    <cfRule type="duplicateValues" dxfId="8180" priority="4037"/>
  </conditionalFormatting>
  <conditionalFormatting sqref="AI15">
    <cfRule type="duplicateValues" dxfId="8179" priority="4036"/>
  </conditionalFormatting>
  <conditionalFormatting sqref="AI33:AI34">
    <cfRule type="duplicateValues" dxfId="8178" priority="4035"/>
  </conditionalFormatting>
  <conditionalFormatting sqref="AI33:AI34">
    <cfRule type="duplicateValues" dxfId="8177" priority="4034"/>
  </conditionalFormatting>
  <conditionalFormatting sqref="AI33:AI34">
    <cfRule type="duplicateValues" dxfId="8176" priority="4032" stopIfTrue="1"/>
    <cfRule type="duplicateValues" dxfId="8175" priority="4033"/>
  </conditionalFormatting>
  <conditionalFormatting sqref="AI33:AI34">
    <cfRule type="duplicateValues" dxfId="8174" priority="4031"/>
  </conditionalFormatting>
  <conditionalFormatting sqref="AI34:AJ34">
    <cfRule type="duplicateValues" dxfId="8173" priority="4030"/>
  </conditionalFormatting>
  <conditionalFormatting sqref="AI34:AJ34">
    <cfRule type="duplicateValues" dxfId="8172" priority="4029"/>
  </conditionalFormatting>
  <conditionalFormatting sqref="AI34:AJ34">
    <cfRule type="duplicateValues" dxfId="8171" priority="4028"/>
  </conditionalFormatting>
  <conditionalFormatting sqref="AI34:AJ34">
    <cfRule type="duplicateValues" dxfId="8170" priority="4027"/>
  </conditionalFormatting>
  <conditionalFormatting sqref="AI34:AJ34">
    <cfRule type="duplicateValues" dxfId="8169" priority="4026"/>
  </conditionalFormatting>
  <conditionalFormatting sqref="AI34:AJ34">
    <cfRule type="duplicateValues" dxfId="8168" priority="4025"/>
  </conditionalFormatting>
  <conditionalFormatting sqref="AI34:AJ34">
    <cfRule type="duplicateValues" dxfId="8167" priority="4024"/>
  </conditionalFormatting>
  <conditionalFormatting sqref="AI34:AJ34">
    <cfRule type="duplicateValues" dxfId="8166" priority="4023"/>
  </conditionalFormatting>
  <conditionalFormatting sqref="AI34:AJ34">
    <cfRule type="duplicateValues" dxfId="8165" priority="4022"/>
  </conditionalFormatting>
  <conditionalFormatting sqref="AI34:AJ34">
    <cfRule type="duplicateValues" dxfId="8164" priority="4021"/>
  </conditionalFormatting>
  <conditionalFormatting sqref="AI34:AJ34">
    <cfRule type="duplicateValues" dxfId="8163" priority="4020"/>
  </conditionalFormatting>
  <conditionalFormatting sqref="AI34:AJ34">
    <cfRule type="duplicateValues" dxfId="8162" priority="4019"/>
  </conditionalFormatting>
  <conditionalFormatting sqref="AH30:AH31">
    <cfRule type="duplicateValues" dxfId="8161" priority="4018"/>
  </conditionalFormatting>
  <conditionalFormatting sqref="AH30:AH31">
    <cfRule type="duplicateValues" dxfId="8160" priority="4017"/>
  </conditionalFormatting>
  <conditionalFormatting sqref="AH30:AH31">
    <cfRule type="duplicateValues" dxfId="8159" priority="4016"/>
  </conditionalFormatting>
  <conditionalFormatting sqref="AH30:AH31">
    <cfRule type="duplicateValues" dxfId="8158" priority="4015"/>
  </conditionalFormatting>
  <conditionalFormatting sqref="AH30:AH31">
    <cfRule type="duplicateValues" dxfId="8157" priority="4014"/>
  </conditionalFormatting>
  <conditionalFormatting sqref="AH30:AH31">
    <cfRule type="duplicateValues" dxfId="8156" priority="4013"/>
  </conditionalFormatting>
  <conditionalFormatting sqref="AH30:AH31">
    <cfRule type="duplicateValues" dxfId="8155" priority="4012"/>
  </conditionalFormatting>
  <conditionalFormatting sqref="AH30:AH31">
    <cfRule type="duplicateValues" dxfId="8154" priority="4011"/>
  </conditionalFormatting>
  <conditionalFormatting sqref="AH30:AH31">
    <cfRule type="duplicateValues" dxfId="8153" priority="4010"/>
  </conditionalFormatting>
  <conditionalFormatting sqref="AH30:AH31">
    <cfRule type="duplicateValues" dxfId="8152" priority="4009"/>
  </conditionalFormatting>
  <conditionalFormatting sqref="AH30:AH31">
    <cfRule type="duplicateValues" dxfId="8151" priority="4008"/>
  </conditionalFormatting>
  <conditionalFormatting sqref="AH30:AH31">
    <cfRule type="duplicateValues" dxfId="8150" priority="4007"/>
  </conditionalFormatting>
  <conditionalFormatting sqref="AH30:AH31">
    <cfRule type="duplicateValues" dxfId="8149" priority="4006"/>
  </conditionalFormatting>
  <conditionalFormatting sqref="AH30:AH31">
    <cfRule type="duplicateValues" dxfId="8148" priority="4005"/>
  </conditionalFormatting>
  <conditionalFormatting sqref="AH30:AH31">
    <cfRule type="duplicateValues" dxfId="8147" priority="4004"/>
  </conditionalFormatting>
  <conditionalFormatting sqref="AH30:AH31">
    <cfRule type="duplicateValues" dxfId="8146" priority="4003"/>
  </conditionalFormatting>
  <conditionalFormatting sqref="AH30:AH31">
    <cfRule type="duplicateValues" dxfId="8145" priority="4002"/>
  </conditionalFormatting>
  <conditionalFormatting sqref="AH30:AH31">
    <cfRule type="duplicateValues" dxfId="8144" priority="4001"/>
  </conditionalFormatting>
  <conditionalFormatting sqref="AH30:AH31">
    <cfRule type="duplicateValues" dxfId="8143" priority="4000"/>
  </conditionalFormatting>
  <conditionalFormatting sqref="AH30:AH31">
    <cfRule type="duplicateValues" dxfId="8142" priority="3999"/>
  </conditionalFormatting>
  <conditionalFormatting sqref="AH30:AH31">
    <cfRule type="duplicateValues" dxfId="8141" priority="3998"/>
  </conditionalFormatting>
  <conditionalFormatting sqref="AH30:AH31">
    <cfRule type="duplicateValues" dxfId="8140" priority="3997"/>
  </conditionalFormatting>
  <conditionalFormatting sqref="AH30:AH31">
    <cfRule type="duplicateValues" dxfId="8139" priority="3996"/>
  </conditionalFormatting>
  <conditionalFormatting sqref="AH30:AH31">
    <cfRule type="duplicateValues" dxfId="8138" priority="3995"/>
  </conditionalFormatting>
  <conditionalFormatting sqref="AH30:AH31">
    <cfRule type="duplicateValues" dxfId="8137" priority="3994"/>
  </conditionalFormatting>
  <conditionalFormatting sqref="AH30:AH31">
    <cfRule type="duplicateValues" dxfId="8136" priority="3993"/>
  </conditionalFormatting>
  <conditionalFormatting sqref="AH30:AH31">
    <cfRule type="duplicateValues" dxfId="8135" priority="3992"/>
  </conditionalFormatting>
  <conditionalFormatting sqref="AH30:AH31">
    <cfRule type="duplicateValues" dxfId="8134" priority="3991"/>
  </conditionalFormatting>
  <conditionalFormatting sqref="AH33 AI34:AJ34">
    <cfRule type="duplicateValues" dxfId="8133" priority="3974"/>
  </conditionalFormatting>
  <conditionalFormatting sqref="AI22">
    <cfRule type="duplicateValues" dxfId="8132" priority="3973"/>
  </conditionalFormatting>
  <conditionalFormatting sqref="AI22">
    <cfRule type="duplicateValues" dxfId="8131" priority="3972"/>
  </conditionalFormatting>
  <conditionalFormatting sqref="AI22">
    <cfRule type="duplicateValues" dxfId="8130" priority="3971"/>
  </conditionalFormatting>
  <conditionalFormatting sqref="AI22">
    <cfRule type="duplicateValues" dxfId="8129" priority="3970"/>
  </conditionalFormatting>
  <conditionalFormatting sqref="AI22">
    <cfRule type="duplicateValues" dxfId="8128" priority="3968" stopIfTrue="1"/>
    <cfRule type="duplicateValues" dxfId="8127" priority="3969"/>
  </conditionalFormatting>
  <conditionalFormatting sqref="AI22">
    <cfRule type="duplicateValues" dxfId="8126" priority="3966" stopIfTrue="1"/>
    <cfRule type="duplicateValues" dxfId="8125" priority="3967"/>
  </conditionalFormatting>
  <conditionalFormatting sqref="AI22">
    <cfRule type="duplicateValues" dxfId="8124" priority="3964" stopIfTrue="1"/>
    <cfRule type="duplicateValues" dxfId="8123" priority="3965"/>
  </conditionalFormatting>
  <conditionalFormatting sqref="AI22">
    <cfRule type="duplicateValues" dxfId="8122" priority="3962" stopIfTrue="1"/>
    <cfRule type="duplicateValues" dxfId="8121" priority="3963"/>
  </conditionalFormatting>
  <conditionalFormatting sqref="AI22">
    <cfRule type="duplicateValues" dxfId="8120" priority="3961"/>
  </conditionalFormatting>
  <conditionalFormatting sqref="AI22">
    <cfRule type="duplicateValues" dxfId="8119" priority="3960"/>
  </conditionalFormatting>
  <conditionalFormatting sqref="AI22">
    <cfRule type="duplicateValues" dxfId="8118" priority="3958" stopIfTrue="1"/>
    <cfRule type="duplicateValues" dxfId="8117" priority="3959"/>
  </conditionalFormatting>
  <conditionalFormatting sqref="AH26:AH27">
    <cfRule type="duplicateValues" dxfId="8116" priority="3916"/>
  </conditionalFormatting>
  <conditionalFormatting sqref="AH26:AH27">
    <cfRule type="duplicateValues" dxfId="8115" priority="3915"/>
  </conditionalFormatting>
  <conditionalFormatting sqref="AH26:AH27">
    <cfRule type="duplicateValues" dxfId="8114" priority="3914"/>
  </conditionalFormatting>
  <conditionalFormatting sqref="AH26:AH27">
    <cfRule type="duplicateValues" dxfId="8113" priority="3913"/>
  </conditionalFormatting>
  <conditionalFormatting sqref="AH26:AH27">
    <cfRule type="duplicateValues" dxfId="8112" priority="3912"/>
  </conditionalFormatting>
  <conditionalFormatting sqref="AH26:AH27">
    <cfRule type="duplicateValues" dxfId="8111" priority="3911"/>
  </conditionalFormatting>
  <conditionalFormatting sqref="AH26:AH27">
    <cfRule type="duplicateValues" dxfId="8110" priority="3910"/>
  </conditionalFormatting>
  <conditionalFormatting sqref="AH26:AH27">
    <cfRule type="duplicateValues" dxfId="8109" priority="3909"/>
  </conditionalFormatting>
  <conditionalFormatting sqref="AH26:AH27">
    <cfRule type="duplicateValues" dxfId="8108" priority="3908"/>
  </conditionalFormatting>
  <conditionalFormatting sqref="AH26:AH27">
    <cfRule type="duplicateValues" dxfId="8107" priority="3907"/>
  </conditionalFormatting>
  <conditionalFormatting sqref="AH26:AH27">
    <cfRule type="duplicateValues" dxfId="8106" priority="3906"/>
  </conditionalFormatting>
  <conditionalFormatting sqref="AH26:AH27">
    <cfRule type="duplicateValues" dxfId="8105" priority="3905"/>
  </conditionalFormatting>
  <conditionalFormatting sqref="AI26:AI27">
    <cfRule type="duplicateValues" dxfId="8104" priority="3904"/>
  </conditionalFormatting>
  <conditionalFormatting sqref="AI26:AI27">
    <cfRule type="duplicateValues" dxfId="8103" priority="3903"/>
  </conditionalFormatting>
  <conditionalFormatting sqref="AI26:AI27">
    <cfRule type="duplicateValues" dxfId="8102" priority="3902"/>
  </conditionalFormatting>
  <conditionalFormatting sqref="AI26:AI27">
    <cfRule type="duplicateValues" dxfId="8101" priority="3901"/>
  </conditionalFormatting>
  <conditionalFormatting sqref="AI26:AI27">
    <cfRule type="duplicateValues" dxfId="8100" priority="3900"/>
  </conditionalFormatting>
  <conditionalFormatting sqref="AI26:AI27">
    <cfRule type="duplicateValues" dxfId="8099" priority="3899"/>
  </conditionalFormatting>
  <conditionalFormatting sqref="AI26:AI27">
    <cfRule type="duplicateValues" dxfId="8098" priority="3898"/>
  </conditionalFormatting>
  <conditionalFormatting sqref="AI26:AI27">
    <cfRule type="duplicateValues" dxfId="8097" priority="3897"/>
  </conditionalFormatting>
  <conditionalFormatting sqref="AI26:AI27">
    <cfRule type="duplicateValues" dxfId="8096" priority="3896"/>
  </conditionalFormatting>
  <conditionalFormatting sqref="AI26:AI27">
    <cfRule type="duplicateValues" dxfId="8095" priority="3895"/>
  </conditionalFormatting>
  <conditionalFormatting sqref="AI26:AI27">
    <cfRule type="duplicateValues" dxfId="8094" priority="3894"/>
  </conditionalFormatting>
  <conditionalFormatting sqref="AI26:AI27">
    <cfRule type="duplicateValues" dxfId="8093" priority="3893"/>
  </conditionalFormatting>
  <conditionalFormatting sqref="AI26:AI27">
    <cfRule type="duplicateValues" dxfId="8092" priority="3892"/>
  </conditionalFormatting>
  <conditionalFormatting sqref="AI26:AI27">
    <cfRule type="duplicateValues" dxfId="8091" priority="3891"/>
  </conditionalFormatting>
  <conditionalFormatting sqref="AI26:AI27">
    <cfRule type="duplicateValues" dxfId="8090" priority="3890"/>
  </conditionalFormatting>
  <conditionalFormatting sqref="AI26:AI27">
    <cfRule type="duplicateValues" dxfId="8089" priority="3889"/>
  </conditionalFormatting>
  <conditionalFormatting sqref="AI26:AI27">
    <cfRule type="duplicateValues" dxfId="8088" priority="3888"/>
  </conditionalFormatting>
  <conditionalFormatting sqref="AI26:AI27">
    <cfRule type="duplicateValues" dxfId="8087" priority="3887"/>
  </conditionalFormatting>
  <conditionalFormatting sqref="AI26:AI27">
    <cfRule type="duplicateValues" dxfId="8086" priority="3886"/>
  </conditionalFormatting>
  <conditionalFormatting sqref="AI26:AI27">
    <cfRule type="duplicateValues" dxfId="8085" priority="3885"/>
  </conditionalFormatting>
  <conditionalFormatting sqref="AI26:AI27">
    <cfRule type="duplicateValues" dxfId="8084" priority="3884"/>
  </conditionalFormatting>
  <conditionalFormatting sqref="AI26:AI27">
    <cfRule type="duplicateValues" dxfId="8083" priority="3883"/>
  </conditionalFormatting>
  <conditionalFormatting sqref="AI26:AI27">
    <cfRule type="duplicateValues" dxfId="8082" priority="3882"/>
  </conditionalFormatting>
  <conditionalFormatting sqref="AI26:AI27">
    <cfRule type="duplicateValues" dxfId="8081" priority="3881"/>
  </conditionalFormatting>
  <conditionalFormatting sqref="AI26:AI27">
    <cfRule type="duplicateValues" dxfId="8080" priority="3880"/>
  </conditionalFormatting>
  <conditionalFormatting sqref="AI26:AI27">
    <cfRule type="duplicateValues" dxfId="8079" priority="3878" stopIfTrue="1"/>
    <cfRule type="duplicateValues" dxfId="8078" priority="3879"/>
  </conditionalFormatting>
  <conditionalFormatting sqref="AI26:AI27">
    <cfRule type="duplicateValues" dxfId="8077" priority="3877"/>
  </conditionalFormatting>
  <conditionalFormatting sqref="AI26:AI27">
    <cfRule type="duplicateValues" dxfId="8076" priority="3875" stopIfTrue="1"/>
    <cfRule type="duplicateValues" dxfId="8075" priority="3876"/>
  </conditionalFormatting>
  <conditionalFormatting sqref="AI26:AI27">
    <cfRule type="duplicateValues" dxfId="8074" priority="3874"/>
  </conditionalFormatting>
  <conditionalFormatting sqref="AI26:AI27">
    <cfRule type="duplicateValues" dxfId="8073" priority="3872" stopIfTrue="1"/>
    <cfRule type="duplicateValues" dxfId="8072" priority="3873"/>
  </conditionalFormatting>
  <conditionalFormatting sqref="AI26:AI27">
    <cfRule type="duplicateValues" dxfId="8071" priority="3871"/>
  </conditionalFormatting>
  <conditionalFormatting sqref="AI26:AI27">
    <cfRule type="duplicateValues" dxfId="8070" priority="3869" stopIfTrue="1"/>
    <cfRule type="duplicateValues" dxfId="8069" priority="3870"/>
  </conditionalFormatting>
  <conditionalFormatting sqref="AI26:AI27">
    <cfRule type="duplicateValues" dxfId="8068" priority="3868"/>
  </conditionalFormatting>
  <conditionalFormatting sqref="AI26:AI27">
    <cfRule type="duplicateValues" dxfId="8067" priority="3866" stopIfTrue="1"/>
    <cfRule type="duplicateValues" dxfId="8066" priority="3867"/>
  </conditionalFormatting>
  <conditionalFormatting sqref="AI26:AI27">
    <cfRule type="duplicateValues" dxfId="8065" priority="3865"/>
  </conditionalFormatting>
  <conditionalFormatting sqref="AI26:AI27">
    <cfRule type="duplicateValues" dxfId="8064" priority="3863" stopIfTrue="1"/>
    <cfRule type="duplicateValues" dxfId="8063" priority="3864"/>
  </conditionalFormatting>
  <conditionalFormatting sqref="AI26:AI27">
    <cfRule type="duplicateValues" dxfId="8062" priority="3862"/>
  </conditionalFormatting>
  <conditionalFormatting sqref="AI26:AI27">
    <cfRule type="duplicateValues" dxfId="8061" priority="3860" stopIfTrue="1"/>
    <cfRule type="duplicateValues" dxfId="8060" priority="3861"/>
  </conditionalFormatting>
  <conditionalFormatting sqref="AI26:AI27">
    <cfRule type="duplicateValues" dxfId="8059" priority="3859"/>
  </conditionalFormatting>
  <conditionalFormatting sqref="AI26:AI27">
    <cfRule type="duplicateValues" dxfId="8058" priority="3858"/>
  </conditionalFormatting>
  <conditionalFormatting sqref="AI26:AI27">
    <cfRule type="duplicateValues" dxfId="8057" priority="3857"/>
  </conditionalFormatting>
  <conditionalFormatting sqref="AI26:AI27">
    <cfRule type="duplicateValues" dxfId="8056" priority="3856"/>
  </conditionalFormatting>
  <conditionalFormatting sqref="AI26:AI27">
    <cfRule type="duplicateValues" dxfId="8055" priority="3854" stopIfTrue="1"/>
    <cfRule type="duplicateValues" dxfId="8054" priority="3855"/>
  </conditionalFormatting>
  <conditionalFormatting sqref="AI26:AI27">
    <cfRule type="duplicateValues" dxfId="8053" priority="3853"/>
  </conditionalFormatting>
  <conditionalFormatting sqref="AI26:AI27">
    <cfRule type="duplicateValues" dxfId="8052" priority="3852"/>
  </conditionalFormatting>
  <conditionalFormatting sqref="AI26:AI27">
    <cfRule type="duplicateValues" dxfId="8051" priority="3850" stopIfTrue="1"/>
    <cfRule type="duplicateValues" dxfId="8050" priority="3851"/>
  </conditionalFormatting>
  <conditionalFormatting sqref="AI26:AI27">
    <cfRule type="duplicateValues" dxfId="8049" priority="3849"/>
  </conditionalFormatting>
  <conditionalFormatting sqref="AI26:AI27">
    <cfRule type="duplicateValues" dxfId="8048" priority="3847" stopIfTrue="1"/>
    <cfRule type="duplicateValues" dxfId="8047" priority="3848"/>
  </conditionalFormatting>
  <conditionalFormatting sqref="AI26:AI27">
    <cfRule type="duplicateValues" dxfId="8046" priority="3846"/>
  </conditionalFormatting>
  <conditionalFormatting sqref="AI26:AI27">
    <cfRule type="duplicateValues" dxfId="8045" priority="3844" stopIfTrue="1"/>
    <cfRule type="duplicateValues" dxfId="8044" priority="3845"/>
  </conditionalFormatting>
  <conditionalFormatting sqref="AI26:AI27">
    <cfRule type="duplicateValues" dxfId="8043" priority="3843"/>
  </conditionalFormatting>
  <conditionalFormatting sqref="AI26:AI27">
    <cfRule type="duplicateValues" dxfId="8042" priority="3841" stopIfTrue="1"/>
    <cfRule type="duplicateValues" dxfId="8041" priority="3842"/>
  </conditionalFormatting>
  <conditionalFormatting sqref="AI26:AI27">
    <cfRule type="duplicateValues" dxfId="8040" priority="3840"/>
  </conditionalFormatting>
  <conditionalFormatting sqref="AI26:AI27">
    <cfRule type="duplicateValues" dxfId="8039" priority="3838" stopIfTrue="1"/>
    <cfRule type="duplicateValues" dxfId="8038" priority="3839"/>
  </conditionalFormatting>
  <conditionalFormatting sqref="AI26:AI27">
    <cfRule type="duplicateValues" dxfId="8037" priority="3837"/>
  </conditionalFormatting>
  <conditionalFormatting sqref="AI26:AI27">
    <cfRule type="duplicateValues" dxfId="8036" priority="3836"/>
  </conditionalFormatting>
  <conditionalFormatting sqref="AI26:AI27">
    <cfRule type="duplicateValues" dxfId="8035" priority="3835"/>
  </conditionalFormatting>
  <conditionalFormatting sqref="AI26:AI27">
    <cfRule type="duplicateValues" dxfId="8034" priority="3834"/>
  </conditionalFormatting>
  <conditionalFormatting sqref="AI26:AI27">
    <cfRule type="duplicateValues" dxfId="8033" priority="3833"/>
  </conditionalFormatting>
  <conditionalFormatting sqref="AI26:AI27">
    <cfRule type="duplicateValues" dxfId="8032" priority="3831" stopIfTrue="1"/>
    <cfRule type="duplicateValues" dxfId="8031" priority="3832"/>
  </conditionalFormatting>
  <conditionalFormatting sqref="AI26:AI27">
    <cfRule type="duplicateValues" dxfId="8030" priority="3830"/>
  </conditionalFormatting>
  <conditionalFormatting sqref="AI26:AI27">
    <cfRule type="duplicateValues" dxfId="8029" priority="3828" stopIfTrue="1"/>
    <cfRule type="duplicateValues" dxfId="8028" priority="3829"/>
  </conditionalFormatting>
  <conditionalFormatting sqref="AI26:AI27">
    <cfRule type="duplicateValues" dxfId="8027" priority="3827"/>
  </conditionalFormatting>
  <conditionalFormatting sqref="AI26:AI27">
    <cfRule type="duplicateValues" dxfId="8026" priority="3825" stopIfTrue="1"/>
    <cfRule type="duplicateValues" dxfId="8025" priority="3826"/>
  </conditionalFormatting>
  <conditionalFormatting sqref="AI26:AI27">
    <cfRule type="duplicateValues" dxfId="8024" priority="3824"/>
  </conditionalFormatting>
  <conditionalFormatting sqref="AI26:AI27">
    <cfRule type="duplicateValues" dxfId="8023" priority="3822" stopIfTrue="1"/>
    <cfRule type="duplicateValues" dxfId="8022" priority="3823"/>
  </conditionalFormatting>
  <conditionalFormatting sqref="AI26:AI27">
    <cfRule type="duplicateValues" dxfId="8021" priority="3821"/>
  </conditionalFormatting>
  <conditionalFormatting sqref="AI26:AI27">
    <cfRule type="duplicateValues" dxfId="8020" priority="3819" stopIfTrue="1"/>
    <cfRule type="duplicateValues" dxfId="8019" priority="3820"/>
  </conditionalFormatting>
  <conditionalFormatting sqref="AI26:AI27">
    <cfRule type="duplicateValues" dxfId="8018" priority="3818"/>
  </conditionalFormatting>
  <conditionalFormatting sqref="AI26:AI27">
    <cfRule type="duplicateValues" dxfId="8017" priority="3817"/>
  </conditionalFormatting>
  <conditionalFormatting sqref="AI26:AI27">
    <cfRule type="duplicateValues" dxfId="8016" priority="3816"/>
  </conditionalFormatting>
  <conditionalFormatting sqref="AI26:AI27">
    <cfRule type="duplicateValues" dxfId="8015" priority="3815"/>
  </conditionalFormatting>
  <conditionalFormatting sqref="AI26:AI27">
    <cfRule type="duplicateValues" dxfId="8014" priority="3814"/>
  </conditionalFormatting>
  <conditionalFormatting sqref="AI26:AI27">
    <cfRule type="duplicateValues" dxfId="8013" priority="3813"/>
  </conditionalFormatting>
  <conditionalFormatting sqref="AI26:AI27">
    <cfRule type="duplicateValues" dxfId="8012" priority="3811" stopIfTrue="1"/>
    <cfRule type="duplicateValues" dxfId="8011" priority="3812"/>
  </conditionalFormatting>
  <conditionalFormatting sqref="AI26:AI27">
    <cfRule type="duplicateValues" dxfId="8010" priority="3810"/>
  </conditionalFormatting>
  <conditionalFormatting sqref="AI26:AI27">
    <cfRule type="duplicateValues" dxfId="8009" priority="3808" stopIfTrue="1"/>
    <cfRule type="duplicateValues" dxfId="8008" priority="3809"/>
  </conditionalFormatting>
  <conditionalFormatting sqref="AI26:AI27">
    <cfRule type="duplicateValues" dxfId="8007" priority="3807"/>
  </conditionalFormatting>
  <conditionalFormatting sqref="AI26:AI27">
    <cfRule type="duplicateValues" dxfId="8006" priority="3805" stopIfTrue="1"/>
    <cfRule type="duplicateValues" dxfId="8005" priority="3806"/>
  </conditionalFormatting>
  <conditionalFormatting sqref="AI26:AI27">
    <cfRule type="duplicateValues" dxfId="8004" priority="3804"/>
  </conditionalFormatting>
  <conditionalFormatting sqref="AI26:AI27">
    <cfRule type="duplicateValues" dxfId="8003" priority="3802" stopIfTrue="1"/>
    <cfRule type="duplicateValues" dxfId="8002" priority="3803"/>
  </conditionalFormatting>
  <conditionalFormatting sqref="AI26:AI27">
    <cfRule type="duplicateValues" dxfId="8001" priority="3801"/>
  </conditionalFormatting>
  <conditionalFormatting sqref="AI26:AI27">
    <cfRule type="duplicateValues" dxfId="8000" priority="3799" stopIfTrue="1"/>
    <cfRule type="duplicateValues" dxfId="7999" priority="3800"/>
  </conditionalFormatting>
  <conditionalFormatting sqref="AI26:AI27">
    <cfRule type="duplicateValues" dxfId="7998" priority="3798"/>
  </conditionalFormatting>
  <conditionalFormatting sqref="AI26:AI27">
    <cfRule type="duplicateValues" dxfId="7997" priority="3797"/>
  </conditionalFormatting>
  <conditionalFormatting sqref="AI26:AI27">
    <cfRule type="duplicateValues" dxfId="7996" priority="3796"/>
  </conditionalFormatting>
  <conditionalFormatting sqref="AI26:AI27">
    <cfRule type="duplicateValues" dxfId="7995" priority="3795"/>
  </conditionalFormatting>
  <conditionalFormatting sqref="AI26:AI27">
    <cfRule type="duplicateValues" dxfId="7994" priority="3794"/>
  </conditionalFormatting>
  <conditionalFormatting sqref="AI26:AI27">
    <cfRule type="duplicateValues" dxfId="7993" priority="3793"/>
  </conditionalFormatting>
  <conditionalFormatting sqref="AI26:AI27">
    <cfRule type="duplicateValues" dxfId="7992" priority="3791" stopIfTrue="1"/>
    <cfRule type="duplicateValues" dxfId="7991" priority="3792"/>
  </conditionalFormatting>
  <conditionalFormatting sqref="AI26:AI27">
    <cfRule type="duplicateValues" dxfId="7990" priority="3790"/>
  </conditionalFormatting>
  <conditionalFormatting sqref="AI26:AI27">
    <cfRule type="duplicateValues" dxfId="7989" priority="3788" stopIfTrue="1"/>
    <cfRule type="duplicateValues" dxfId="7988" priority="3789"/>
  </conditionalFormatting>
  <conditionalFormatting sqref="AI26:AI27">
    <cfRule type="duplicateValues" dxfId="7987" priority="3787"/>
  </conditionalFormatting>
  <conditionalFormatting sqref="AI26:AI27">
    <cfRule type="duplicateValues" dxfId="7986" priority="3785" stopIfTrue="1"/>
    <cfRule type="duplicateValues" dxfId="7985" priority="3786"/>
  </conditionalFormatting>
  <conditionalFormatting sqref="AI26:AI27">
    <cfRule type="duplicateValues" dxfId="7984" priority="3784"/>
  </conditionalFormatting>
  <conditionalFormatting sqref="AI26:AI27">
    <cfRule type="duplicateValues" dxfId="7983" priority="3782" stopIfTrue="1"/>
    <cfRule type="duplicateValues" dxfId="7982" priority="3783"/>
  </conditionalFormatting>
  <conditionalFormatting sqref="AI26:AI27">
    <cfRule type="duplicateValues" dxfId="7981" priority="3781"/>
  </conditionalFormatting>
  <conditionalFormatting sqref="AI26:AI27">
    <cfRule type="duplicateValues" dxfId="7980" priority="3779" stopIfTrue="1"/>
    <cfRule type="duplicateValues" dxfId="7979" priority="3780"/>
  </conditionalFormatting>
  <conditionalFormatting sqref="AI26:AI27">
    <cfRule type="duplicateValues" dxfId="7978" priority="3778"/>
  </conditionalFormatting>
  <conditionalFormatting sqref="AI26:AI27">
    <cfRule type="duplicateValues" dxfId="7977" priority="3777"/>
  </conditionalFormatting>
  <conditionalFormatting sqref="AI26:AI27">
    <cfRule type="duplicateValues" dxfId="7976" priority="3776"/>
  </conditionalFormatting>
  <conditionalFormatting sqref="AI26:AI27">
    <cfRule type="duplicateValues" dxfId="7975" priority="3775"/>
  </conditionalFormatting>
  <conditionalFormatting sqref="AI26:AI27">
    <cfRule type="duplicateValues" dxfId="7974" priority="3774"/>
  </conditionalFormatting>
  <conditionalFormatting sqref="AI26:AI27">
    <cfRule type="duplicateValues" dxfId="7973" priority="3773"/>
  </conditionalFormatting>
  <conditionalFormatting sqref="AI26:AI27">
    <cfRule type="duplicateValues" dxfId="7972" priority="3771" stopIfTrue="1"/>
    <cfRule type="duplicateValues" dxfId="7971" priority="3772"/>
  </conditionalFormatting>
  <conditionalFormatting sqref="AI26:AI27">
    <cfRule type="duplicateValues" dxfId="7970" priority="3770"/>
  </conditionalFormatting>
  <conditionalFormatting sqref="AI26:AI27">
    <cfRule type="duplicateValues" dxfId="7969" priority="3768" stopIfTrue="1"/>
    <cfRule type="duplicateValues" dxfId="7968" priority="3769"/>
  </conditionalFormatting>
  <conditionalFormatting sqref="AI26:AI27">
    <cfRule type="duplicateValues" dxfId="7967" priority="3767"/>
  </conditionalFormatting>
  <conditionalFormatting sqref="AI26:AI27">
    <cfRule type="duplicateValues" dxfId="7966" priority="3765" stopIfTrue="1"/>
    <cfRule type="duplicateValues" dxfId="7965" priority="3766"/>
  </conditionalFormatting>
  <conditionalFormatting sqref="AI26:AI27">
    <cfRule type="duplicateValues" dxfId="7964" priority="3764"/>
  </conditionalFormatting>
  <conditionalFormatting sqref="AI26:AI27">
    <cfRule type="duplicateValues" dxfId="7963" priority="3762" stopIfTrue="1"/>
    <cfRule type="duplicateValues" dxfId="7962" priority="3763"/>
  </conditionalFormatting>
  <conditionalFormatting sqref="AI26:AI27">
    <cfRule type="duplicateValues" dxfId="7961" priority="3761"/>
  </conditionalFormatting>
  <conditionalFormatting sqref="AI26:AI27">
    <cfRule type="duplicateValues" dxfId="7960" priority="3759" stopIfTrue="1"/>
    <cfRule type="duplicateValues" dxfId="7959" priority="3760"/>
  </conditionalFormatting>
  <conditionalFormatting sqref="AI26:AI27">
    <cfRule type="duplicateValues" dxfId="7958" priority="3758"/>
  </conditionalFormatting>
  <conditionalFormatting sqref="AI26:AI27">
    <cfRule type="duplicateValues" dxfId="7957" priority="3757"/>
  </conditionalFormatting>
  <conditionalFormatting sqref="AI26:AI27">
    <cfRule type="duplicateValues" dxfId="7956" priority="3756"/>
  </conditionalFormatting>
  <conditionalFormatting sqref="AI26:AI27">
    <cfRule type="duplicateValues" dxfId="7955" priority="3755"/>
  </conditionalFormatting>
  <conditionalFormatting sqref="AI26:AI27">
    <cfRule type="duplicateValues" dxfId="7954" priority="3754"/>
  </conditionalFormatting>
  <conditionalFormatting sqref="AI26:AI27">
    <cfRule type="duplicateValues" dxfId="7953" priority="3753"/>
  </conditionalFormatting>
  <conditionalFormatting sqref="AI26:AI27">
    <cfRule type="duplicateValues" dxfId="7952" priority="3752"/>
  </conditionalFormatting>
  <conditionalFormatting sqref="AI26:AI27">
    <cfRule type="duplicateValues" dxfId="7951" priority="3751"/>
  </conditionalFormatting>
  <conditionalFormatting sqref="AI26:AI27">
    <cfRule type="duplicateValues" dxfId="7950" priority="3750"/>
  </conditionalFormatting>
  <conditionalFormatting sqref="AI26:AI27">
    <cfRule type="duplicateValues" dxfId="7949" priority="3749"/>
  </conditionalFormatting>
  <conditionalFormatting sqref="AI26:AI27">
    <cfRule type="duplicateValues" dxfId="7948" priority="3748"/>
  </conditionalFormatting>
  <conditionalFormatting sqref="AI26:AI27">
    <cfRule type="duplicateValues" dxfId="7947" priority="3747"/>
  </conditionalFormatting>
  <conditionalFormatting sqref="AI26:AI27">
    <cfRule type="duplicateValues" dxfId="7946" priority="3746"/>
  </conditionalFormatting>
  <conditionalFormatting sqref="AI26:AI27">
    <cfRule type="duplicateValues" dxfId="7945" priority="3745"/>
  </conditionalFormatting>
  <conditionalFormatting sqref="AI26:AI27">
    <cfRule type="duplicateValues" dxfId="7944" priority="3744"/>
  </conditionalFormatting>
  <conditionalFormatting sqref="AI26:AI27">
    <cfRule type="duplicateValues" dxfId="7943" priority="3743"/>
  </conditionalFormatting>
  <conditionalFormatting sqref="AI26:AI27">
    <cfRule type="duplicateValues" dxfId="7942" priority="3742"/>
  </conditionalFormatting>
  <conditionalFormatting sqref="AI26:AI27">
    <cfRule type="duplicateValues" dxfId="7941" priority="3741"/>
  </conditionalFormatting>
  <conditionalFormatting sqref="AI26:AI27">
    <cfRule type="duplicateValues" dxfId="7940" priority="3740"/>
  </conditionalFormatting>
  <conditionalFormatting sqref="AI26:AI27">
    <cfRule type="duplicateValues" dxfId="7939" priority="3739"/>
  </conditionalFormatting>
  <conditionalFormatting sqref="AI26:AI27">
    <cfRule type="duplicateValues" dxfId="7938" priority="3738"/>
  </conditionalFormatting>
  <conditionalFormatting sqref="AI26:AI27">
    <cfRule type="duplicateValues" dxfId="7937" priority="3737"/>
  </conditionalFormatting>
  <conditionalFormatting sqref="AI26:AI27">
    <cfRule type="duplicateValues" dxfId="7936" priority="3736"/>
  </conditionalFormatting>
  <conditionalFormatting sqref="AI26:AI27">
    <cfRule type="duplicateValues" dxfId="7935" priority="3735"/>
  </conditionalFormatting>
  <conditionalFormatting sqref="AI26:AI27">
    <cfRule type="duplicateValues" dxfId="7934" priority="3734"/>
  </conditionalFormatting>
  <conditionalFormatting sqref="AI26:AI27">
    <cfRule type="duplicateValues" dxfId="7933" priority="3733"/>
  </conditionalFormatting>
  <conditionalFormatting sqref="AI26:AI27">
    <cfRule type="duplicateValues" dxfId="7932" priority="3732"/>
  </conditionalFormatting>
  <conditionalFormatting sqref="AI26:AI27">
    <cfRule type="duplicateValues" dxfId="7931" priority="3731"/>
  </conditionalFormatting>
  <conditionalFormatting sqref="AI26:AI27">
    <cfRule type="duplicateValues" dxfId="7930" priority="3730"/>
  </conditionalFormatting>
  <conditionalFormatting sqref="AI26:AI27">
    <cfRule type="duplicateValues" dxfId="7929" priority="3729"/>
  </conditionalFormatting>
  <conditionalFormatting sqref="AI26:AI27">
    <cfRule type="duplicateValues" dxfId="7928" priority="3728"/>
  </conditionalFormatting>
  <conditionalFormatting sqref="AI26:AI27">
    <cfRule type="duplicateValues" dxfId="7927" priority="3727"/>
  </conditionalFormatting>
  <conditionalFormatting sqref="AI26:AI27">
    <cfRule type="duplicateValues" dxfId="7926" priority="3726"/>
  </conditionalFormatting>
  <conditionalFormatting sqref="AI26:AI27">
    <cfRule type="duplicateValues" dxfId="7925" priority="3725"/>
  </conditionalFormatting>
  <conditionalFormatting sqref="AI26:AI27">
    <cfRule type="duplicateValues" dxfId="7924" priority="3724"/>
  </conditionalFormatting>
  <conditionalFormatting sqref="AI26:AI27">
    <cfRule type="duplicateValues" dxfId="7923" priority="3723"/>
  </conditionalFormatting>
  <conditionalFormatting sqref="AI26:AI27">
    <cfRule type="duplicateValues" dxfId="7922" priority="3722"/>
  </conditionalFormatting>
  <conditionalFormatting sqref="AI26:AI27">
    <cfRule type="duplicateValues" dxfId="7921" priority="3721"/>
  </conditionalFormatting>
  <conditionalFormatting sqref="AI26:AI27">
    <cfRule type="duplicateValues" dxfId="7920" priority="3720"/>
  </conditionalFormatting>
  <conditionalFormatting sqref="AI26:AI27">
    <cfRule type="duplicateValues" dxfId="7919" priority="3719"/>
  </conditionalFormatting>
  <conditionalFormatting sqref="AI26:AI27">
    <cfRule type="duplicateValues" dxfId="7918" priority="3717" stopIfTrue="1"/>
    <cfRule type="duplicateValues" dxfId="7917" priority="3718"/>
  </conditionalFormatting>
  <conditionalFormatting sqref="AI26:AI27">
    <cfRule type="duplicateValues" dxfId="7916" priority="3716"/>
  </conditionalFormatting>
  <conditionalFormatting sqref="AI26:AI27">
    <cfRule type="duplicateValues" dxfId="7915" priority="3715"/>
  </conditionalFormatting>
  <conditionalFormatting sqref="AI26:AI27">
    <cfRule type="duplicateValues" dxfId="7914" priority="3714"/>
  </conditionalFormatting>
  <conditionalFormatting sqref="AI26:AI27">
    <cfRule type="duplicateValues" dxfId="7913" priority="3713"/>
  </conditionalFormatting>
  <conditionalFormatting sqref="AI26:AI27">
    <cfRule type="duplicateValues" dxfId="7912" priority="3711" stopIfTrue="1"/>
    <cfRule type="duplicateValues" dxfId="7911" priority="3712"/>
  </conditionalFormatting>
  <conditionalFormatting sqref="AI26:AI27">
    <cfRule type="duplicateValues" dxfId="7910" priority="3710"/>
  </conditionalFormatting>
  <conditionalFormatting sqref="AI26:AI27">
    <cfRule type="duplicateValues" dxfId="7909" priority="3708" stopIfTrue="1"/>
    <cfRule type="duplicateValues" dxfId="7908" priority="3709"/>
  </conditionalFormatting>
  <conditionalFormatting sqref="AI26:AI27">
    <cfRule type="duplicateValues" dxfId="7907" priority="3707"/>
  </conditionalFormatting>
  <conditionalFormatting sqref="AI26:AI27">
    <cfRule type="duplicateValues" dxfId="7906" priority="3705" stopIfTrue="1"/>
    <cfRule type="duplicateValues" dxfId="7905" priority="3706"/>
  </conditionalFormatting>
  <conditionalFormatting sqref="AI26:AI27">
    <cfRule type="duplicateValues" dxfId="7904" priority="3704"/>
  </conditionalFormatting>
  <conditionalFormatting sqref="AI26:AI27">
    <cfRule type="duplicateValues" dxfId="7903" priority="3702" stopIfTrue="1"/>
    <cfRule type="duplicateValues" dxfId="7902" priority="3703"/>
  </conditionalFormatting>
  <conditionalFormatting sqref="AI26:AI27">
    <cfRule type="duplicateValues" dxfId="7901" priority="3701"/>
  </conditionalFormatting>
  <conditionalFormatting sqref="AI26:AI27">
    <cfRule type="duplicateValues" dxfId="7900" priority="3699" stopIfTrue="1"/>
    <cfRule type="duplicateValues" dxfId="7899" priority="3700"/>
  </conditionalFormatting>
  <conditionalFormatting sqref="AI26:AI27">
    <cfRule type="duplicateValues" dxfId="7898" priority="3698"/>
  </conditionalFormatting>
  <conditionalFormatting sqref="AI26:AI27">
    <cfRule type="duplicateValues" dxfId="7897" priority="3697"/>
  </conditionalFormatting>
  <conditionalFormatting sqref="AI26:AI27">
    <cfRule type="duplicateValues" dxfId="7896" priority="3696"/>
  </conditionalFormatting>
  <conditionalFormatting sqref="AI26:AI27">
    <cfRule type="duplicateValues" dxfId="7895" priority="3695"/>
  </conditionalFormatting>
  <conditionalFormatting sqref="AI26:AI27">
    <cfRule type="duplicateValues" dxfId="7894" priority="3694"/>
  </conditionalFormatting>
  <conditionalFormatting sqref="AI26:AI27">
    <cfRule type="duplicateValues" dxfId="7893" priority="3693"/>
  </conditionalFormatting>
  <conditionalFormatting sqref="AI26:AI27">
    <cfRule type="duplicateValues" dxfId="7892" priority="3691" stopIfTrue="1"/>
    <cfRule type="duplicateValues" dxfId="7891" priority="3692"/>
  </conditionalFormatting>
  <conditionalFormatting sqref="AI26:AI27">
    <cfRule type="duplicateValues" dxfId="7890" priority="3690"/>
  </conditionalFormatting>
  <conditionalFormatting sqref="AI26:AI27">
    <cfRule type="duplicateValues" dxfId="7889" priority="3688" stopIfTrue="1"/>
    <cfRule type="duplicateValues" dxfId="7888" priority="3689"/>
  </conditionalFormatting>
  <conditionalFormatting sqref="AI26:AI27">
    <cfRule type="duplicateValues" dxfId="7887" priority="3687"/>
  </conditionalFormatting>
  <conditionalFormatting sqref="AI26:AI27">
    <cfRule type="duplicateValues" dxfId="7886" priority="3685" stopIfTrue="1"/>
    <cfRule type="duplicateValues" dxfId="7885" priority="3686"/>
  </conditionalFormatting>
  <conditionalFormatting sqref="AI26:AI27">
    <cfRule type="duplicateValues" dxfId="7884" priority="3684"/>
  </conditionalFormatting>
  <conditionalFormatting sqref="AI26:AI27">
    <cfRule type="duplicateValues" dxfId="7883" priority="3682" stopIfTrue="1"/>
    <cfRule type="duplicateValues" dxfId="7882" priority="3683"/>
  </conditionalFormatting>
  <conditionalFormatting sqref="AI26:AI27">
    <cfRule type="duplicateValues" dxfId="7881" priority="3681"/>
  </conditionalFormatting>
  <conditionalFormatting sqref="AI26:AI27">
    <cfRule type="duplicateValues" dxfId="7880" priority="3679" stopIfTrue="1"/>
    <cfRule type="duplicateValues" dxfId="7879" priority="3680"/>
  </conditionalFormatting>
  <conditionalFormatting sqref="AI26:AI27">
    <cfRule type="duplicateValues" dxfId="7878" priority="3678"/>
  </conditionalFormatting>
  <conditionalFormatting sqref="AI26:AI27">
    <cfRule type="duplicateValues" dxfId="7877" priority="3677"/>
  </conditionalFormatting>
  <conditionalFormatting sqref="AI26:AI27">
    <cfRule type="duplicateValues" dxfId="7876" priority="3676"/>
  </conditionalFormatting>
  <conditionalFormatting sqref="AI26:AI27">
    <cfRule type="duplicateValues" dxfId="7875" priority="3675"/>
  </conditionalFormatting>
  <conditionalFormatting sqref="AI26:AI27">
    <cfRule type="duplicateValues" dxfId="7874" priority="3674"/>
  </conditionalFormatting>
  <conditionalFormatting sqref="AI26:AI27">
    <cfRule type="duplicateValues" dxfId="7873" priority="3673"/>
  </conditionalFormatting>
  <conditionalFormatting sqref="AI26:AI27">
    <cfRule type="duplicateValues" dxfId="7872" priority="3671" stopIfTrue="1"/>
    <cfRule type="duplicateValues" dxfId="7871" priority="3672"/>
  </conditionalFormatting>
  <conditionalFormatting sqref="AI26:AI27">
    <cfRule type="duplicateValues" dxfId="7870" priority="3670"/>
  </conditionalFormatting>
  <conditionalFormatting sqref="AI26:AI27">
    <cfRule type="duplicateValues" dxfId="7869" priority="3668" stopIfTrue="1"/>
    <cfRule type="duplicateValues" dxfId="7868" priority="3669"/>
  </conditionalFormatting>
  <conditionalFormatting sqref="AI26:AI27">
    <cfRule type="duplicateValues" dxfId="7867" priority="3667"/>
  </conditionalFormatting>
  <conditionalFormatting sqref="AI26:AI27">
    <cfRule type="duplicateValues" dxfId="7866" priority="3665" stopIfTrue="1"/>
    <cfRule type="duplicateValues" dxfId="7865" priority="3666"/>
  </conditionalFormatting>
  <conditionalFormatting sqref="AI26:AI27">
    <cfRule type="duplicateValues" dxfId="7864" priority="3664"/>
  </conditionalFormatting>
  <conditionalFormatting sqref="AI26:AI27">
    <cfRule type="duplicateValues" dxfId="7863" priority="3662" stopIfTrue="1"/>
    <cfRule type="duplicateValues" dxfId="7862" priority="3663"/>
  </conditionalFormatting>
  <conditionalFormatting sqref="AI26:AI27">
    <cfRule type="duplicateValues" dxfId="7861" priority="3661"/>
  </conditionalFormatting>
  <conditionalFormatting sqref="AI26:AI27">
    <cfRule type="duplicateValues" dxfId="7860" priority="3659" stopIfTrue="1"/>
    <cfRule type="duplicateValues" dxfId="7859" priority="3660"/>
  </conditionalFormatting>
  <conditionalFormatting sqref="AI26:AI27">
    <cfRule type="duplicateValues" dxfId="7858" priority="3658"/>
  </conditionalFormatting>
  <conditionalFormatting sqref="AI26:AI27">
    <cfRule type="duplicateValues" dxfId="7857" priority="3657"/>
  </conditionalFormatting>
  <conditionalFormatting sqref="AI26:AI27">
    <cfRule type="duplicateValues" dxfId="7856" priority="3656"/>
  </conditionalFormatting>
  <conditionalFormatting sqref="AI26:AI27">
    <cfRule type="duplicateValues" dxfId="7855" priority="3655"/>
  </conditionalFormatting>
  <conditionalFormatting sqref="AI26:AI27">
    <cfRule type="duplicateValues" dxfId="7854" priority="3654"/>
  </conditionalFormatting>
  <conditionalFormatting sqref="AI26:AI27">
    <cfRule type="duplicateValues" dxfId="7853" priority="3653"/>
  </conditionalFormatting>
  <conditionalFormatting sqref="AI26:AI27">
    <cfRule type="duplicateValues" dxfId="7852" priority="3652"/>
  </conditionalFormatting>
  <conditionalFormatting sqref="AI26:AI27">
    <cfRule type="duplicateValues" dxfId="7851" priority="3651"/>
  </conditionalFormatting>
  <conditionalFormatting sqref="AI26:AI27">
    <cfRule type="duplicateValues" dxfId="7850" priority="3650"/>
  </conditionalFormatting>
  <conditionalFormatting sqref="AI26:AI27">
    <cfRule type="duplicateValues" dxfId="7849" priority="3649"/>
  </conditionalFormatting>
  <conditionalFormatting sqref="AI26:AI27">
    <cfRule type="duplicateValues" dxfId="7848" priority="3648"/>
  </conditionalFormatting>
  <conditionalFormatting sqref="AI26:AI27">
    <cfRule type="duplicateValues" dxfId="7847" priority="3647"/>
  </conditionalFormatting>
  <conditionalFormatting sqref="AI26:AI27">
    <cfRule type="duplicateValues" dxfId="7846" priority="3646"/>
  </conditionalFormatting>
  <conditionalFormatting sqref="AI26:AI27">
    <cfRule type="duplicateValues" dxfId="7845" priority="3645"/>
  </conditionalFormatting>
  <conditionalFormatting sqref="AI26:AI27">
    <cfRule type="duplicateValues" dxfId="7844" priority="3644"/>
  </conditionalFormatting>
  <conditionalFormatting sqref="AI26:AI27">
    <cfRule type="duplicateValues" dxfId="7843" priority="3643"/>
  </conditionalFormatting>
  <conditionalFormatting sqref="AI26:AI27">
    <cfRule type="duplicateValues" dxfId="7842" priority="3642"/>
  </conditionalFormatting>
  <conditionalFormatting sqref="AI26:AI27">
    <cfRule type="duplicateValues" dxfId="7841" priority="3641"/>
  </conditionalFormatting>
  <conditionalFormatting sqref="AI26:AI27">
    <cfRule type="duplicateValues" dxfId="7840" priority="3640"/>
  </conditionalFormatting>
  <conditionalFormatting sqref="AI26:AI27">
    <cfRule type="duplicateValues" dxfId="7839" priority="3639"/>
  </conditionalFormatting>
  <conditionalFormatting sqref="AI26:AI27">
    <cfRule type="duplicateValues" dxfId="7838" priority="3638"/>
  </conditionalFormatting>
  <conditionalFormatting sqref="AI26:AI27">
    <cfRule type="duplicateValues" dxfId="7837" priority="3637"/>
  </conditionalFormatting>
  <conditionalFormatting sqref="AI26:AI27">
    <cfRule type="duplicateValues" dxfId="7836" priority="3636"/>
  </conditionalFormatting>
  <conditionalFormatting sqref="AI26:AI27">
    <cfRule type="duplicateValues" dxfId="7835" priority="3635"/>
  </conditionalFormatting>
  <conditionalFormatting sqref="AI26:AI27">
    <cfRule type="duplicateValues" dxfId="7834" priority="3634"/>
  </conditionalFormatting>
  <conditionalFormatting sqref="AI26:AI27">
    <cfRule type="duplicateValues" dxfId="7833" priority="3633"/>
  </conditionalFormatting>
  <conditionalFormatting sqref="AI26:AI27">
    <cfRule type="duplicateValues" dxfId="7832" priority="3632"/>
  </conditionalFormatting>
  <conditionalFormatting sqref="AI26:AI27">
    <cfRule type="duplicateValues" dxfId="7831" priority="3631"/>
  </conditionalFormatting>
  <conditionalFormatting sqref="AI26:AI27">
    <cfRule type="duplicateValues" dxfId="7830" priority="3630"/>
  </conditionalFormatting>
  <conditionalFormatting sqref="AI26:AI27">
    <cfRule type="duplicateValues" dxfId="7829" priority="3629"/>
  </conditionalFormatting>
  <conditionalFormatting sqref="AI26:AI27">
    <cfRule type="duplicateValues" dxfId="7828" priority="3628"/>
  </conditionalFormatting>
  <conditionalFormatting sqref="AI26:AI27">
    <cfRule type="duplicateValues" dxfId="7827" priority="3627"/>
  </conditionalFormatting>
  <conditionalFormatting sqref="AI26:AI27">
    <cfRule type="duplicateValues" dxfId="7826" priority="3626"/>
  </conditionalFormatting>
  <conditionalFormatting sqref="AI26:AI27">
    <cfRule type="duplicateValues" dxfId="7825" priority="3625"/>
  </conditionalFormatting>
  <conditionalFormatting sqref="AI26:AI27">
    <cfRule type="duplicateValues" dxfId="7824" priority="3624"/>
  </conditionalFormatting>
  <conditionalFormatting sqref="AI26:AI27">
    <cfRule type="duplicateValues" dxfId="7823" priority="3623"/>
  </conditionalFormatting>
  <conditionalFormatting sqref="AI26:AI27">
    <cfRule type="duplicateValues" dxfId="7822" priority="3622"/>
  </conditionalFormatting>
  <conditionalFormatting sqref="AI26:AI27">
    <cfRule type="duplicateValues" dxfId="7821" priority="3621"/>
  </conditionalFormatting>
  <conditionalFormatting sqref="AI26:AI27">
    <cfRule type="duplicateValues" dxfId="7820" priority="3620"/>
  </conditionalFormatting>
  <conditionalFormatting sqref="AI26:AI27">
    <cfRule type="duplicateValues" dxfId="7819" priority="3619"/>
  </conditionalFormatting>
  <conditionalFormatting sqref="AI26:AI27">
    <cfRule type="duplicateValues" dxfId="7818" priority="3617" stopIfTrue="1"/>
    <cfRule type="duplicateValues" dxfId="7817" priority="3618"/>
  </conditionalFormatting>
  <conditionalFormatting sqref="AI26:AI27">
    <cfRule type="duplicateValues" dxfId="7816" priority="3616"/>
  </conditionalFormatting>
  <conditionalFormatting sqref="AI26:AI27">
    <cfRule type="duplicateValues" dxfId="7815" priority="3615"/>
  </conditionalFormatting>
  <conditionalFormatting sqref="AI26:AI27">
    <cfRule type="duplicateValues" dxfId="7814" priority="3614"/>
  </conditionalFormatting>
  <conditionalFormatting sqref="AI26:AI27">
    <cfRule type="duplicateValues" dxfId="7813" priority="3613"/>
  </conditionalFormatting>
  <conditionalFormatting sqref="AI26:AI27">
    <cfRule type="duplicateValues" dxfId="7812" priority="3611" stopIfTrue="1"/>
    <cfRule type="duplicateValues" dxfId="7811" priority="3612"/>
  </conditionalFormatting>
  <conditionalFormatting sqref="AI26:AI27">
    <cfRule type="duplicateValues" dxfId="7810" priority="3610"/>
  </conditionalFormatting>
  <conditionalFormatting sqref="AI26:AI27">
    <cfRule type="duplicateValues" dxfId="7809" priority="3608" stopIfTrue="1"/>
    <cfRule type="duplicateValues" dxfId="7808" priority="3609"/>
  </conditionalFormatting>
  <conditionalFormatting sqref="AI26:AI27">
    <cfRule type="duplicateValues" dxfId="7807" priority="3607"/>
  </conditionalFormatting>
  <conditionalFormatting sqref="AI26:AI27">
    <cfRule type="duplicateValues" dxfId="7806" priority="3605" stopIfTrue="1"/>
    <cfRule type="duplicateValues" dxfId="7805" priority="3606"/>
  </conditionalFormatting>
  <conditionalFormatting sqref="AI26:AI27">
    <cfRule type="duplicateValues" dxfId="7804" priority="3604"/>
  </conditionalFormatting>
  <conditionalFormatting sqref="AI26:AI27">
    <cfRule type="duplicateValues" dxfId="7803" priority="3602" stopIfTrue="1"/>
    <cfRule type="duplicateValues" dxfId="7802" priority="3603"/>
  </conditionalFormatting>
  <conditionalFormatting sqref="AI26:AI27">
    <cfRule type="duplicateValues" dxfId="7801" priority="3601"/>
  </conditionalFormatting>
  <conditionalFormatting sqref="AI26:AI27">
    <cfRule type="duplicateValues" dxfId="7800" priority="3599" stopIfTrue="1"/>
    <cfRule type="duplicateValues" dxfId="7799" priority="3600"/>
  </conditionalFormatting>
  <conditionalFormatting sqref="AI26:AI27">
    <cfRule type="duplicateValues" dxfId="7798" priority="3598"/>
  </conditionalFormatting>
  <conditionalFormatting sqref="AI26:AI27">
    <cfRule type="duplicateValues" dxfId="7797" priority="3597"/>
  </conditionalFormatting>
  <conditionalFormatting sqref="AI26:AI27">
    <cfRule type="duplicateValues" dxfId="7796" priority="3596"/>
  </conditionalFormatting>
  <conditionalFormatting sqref="AI26:AI27">
    <cfRule type="duplicateValues" dxfId="7795" priority="3595"/>
  </conditionalFormatting>
  <conditionalFormatting sqref="AI26:AI27">
    <cfRule type="duplicateValues" dxfId="7794" priority="3594"/>
  </conditionalFormatting>
  <conditionalFormatting sqref="AI26:AI27">
    <cfRule type="duplicateValues" dxfId="7793" priority="3593"/>
  </conditionalFormatting>
  <conditionalFormatting sqref="AI26:AI27">
    <cfRule type="duplicateValues" dxfId="7792" priority="3591" stopIfTrue="1"/>
    <cfRule type="duplicateValues" dxfId="7791" priority="3592"/>
  </conditionalFormatting>
  <conditionalFormatting sqref="AI26:AI27">
    <cfRule type="duplicateValues" dxfId="7790" priority="3590"/>
  </conditionalFormatting>
  <conditionalFormatting sqref="AI26:AI27">
    <cfRule type="duplicateValues" dxfId="7789" priority="3588" stopIfTrue="1"/>
    <cfRule type="duplicateValues" dxfId="7788" priority="3589"/>
  </conditionalFormatting>
  <conditionalFormatting sqref="AI26:AI27">
    <cfRule type="duplicateValues" dxfId="7787" priority="3587"/>
  </conditionalFormatting>
  <conditionalFormatting sqref="AI26:AI27">
    <cfRule type="duplicateValues" dxfId="7786" priority="3585" stopIfTrue="1"/>
    <cfRule type="duplicateValues" dxfId="7785" priority="3586"/>
  </conditionalFormatting>
  <conditionalFormatting sqref="AI26:AI27">
    <cfRule type="duplicateValues" dxfId="7784" priority="3584"/>
  </conditionalFormatting>
  <conditionalFormatting sqref="AI26:AI27">
    <cfRule type="duplicateValues" dxfId="7783" priority="3582" stopIfTrue="1"/>
    <cfRule type="duplicateValues" dxfId="7782" priority="3583"/>
  </conditionalFormatting>
  <conditionalFormatting sqref="AI26:AI27">
    <cfRule type="duplicateValues" dxfId="7781" priority="3581"/>
  </conditionalFormatting>
  <conditionalFormatting sqref="AI26:AI27">
    <cfRule type="duplicateValues" dxfId="7780" priority="3579" stopIfTrue="1"/>
    <cfRule type="duplicateValues" dxfId="7779" priority="3580"/>
  </conditionalFormatting>
  <conditionalFormatting sqref="AI26:AI27">
    <cfRule type="duplicateValues" dxfId="7778" priority="3578"/>
  </conditionalFormatting>
  <conditionalFormatting sqref="AI26:AI27">
    <cfRule type="duplicateValues" dxfId="7777" priority="3577"/>
  </conditionalFormatting>
  <conditionalFormatting sqref="AI26:AI27">
    <cfRule type="duplicateValues" dxfId="7776" priority="3576"/>
  </conditionalFormatting>
  <conditionalFormatting sqref="AI26:AI27">
    <cfRule type="duplicateValues" dxfId="7775" priority="3575"/>
  </conditionalFormatting>
  <conditionalFormatting sqref="AI26:AI27">
    <cfRule type="duplicateValues" dxfId="7774" priority="3574"/>
  </conditionalFormatting>
  <conditionalFormatting sqref="AI26:AI27">
    <cfRule type="duplicateValues" dxfId="7773" priority="3573"/>
  </conditionalFormatting>
  <conditionalFormatting sqref="AI26:AI27">
    <cfRule type="duplicateValues" dxfId="7772" priority="3572"/>
  </conditionalFormatting>
  <conditionalFormatting sqref="AI26:AI27">
    <cfRule type="duplicateValues" dxfId="7771" priority="3571"/>
  </conditionalFormatting>
  <conditionalFormatting sqref="AI26:AI27">
    <cfRule type="duplicateValues" dxfId="7770" priority="3570"/>
  </conditionalFormatting>
  <conditionalFormatting sqref="AI26:AI27">
    <cfRule type="duplicateValues" dxfId="7769" priority="3569"/>
  </conditionalFormatting>
  <conditionalFormatting sqref="AI26:AI27">
    <cfRule type="duplicateValues" dxfId="7768" priority="3568"/>
  </conditionalFormatting>
  <conditionalFormatting sqref="AI26:AI27">
    <cfRule type="duplicateValues" dxfId="7767" priority="3567"/>
  </conditionalFormatting>
  <conditionalFormatting sqref="AI26:AI27">
    <cfRule type="duplicateValues" dxfId="7766" priority="3566"/>
  </conditionalFormatting>
  <conditionalFormatting sqref="AI26:AI27">
    <cfRule type="duplicateValues" dxfId="7765" priority="3565"/>
  </conditionalFormatting>
  <conditionalFormatting sqref="AI26:AI27">
    <cfRule type="duplicateValues" dxfId="7764" priority="3564"/>
  </conditionalFormatting>
  <conditionalFormatting sqref="AI26:AI27">
    <cfRule type="duplicateValues" dxfId="7763" priority="3563"/>
  </conditionalFormatting>
  <conditionalFormatting sqref="AI26:AI27">
    <cfRule type="duplicateValues" dxfId="7762" priority="3562"/>
  </conditionalFormatting>
  <conditionalFormatting sqref="AI26:AI27">
    <cfRule type="duplicateValues" dxfId="7761" priority="3561"/>
  </conditionalFormatting>
  <conditionalFormatting sqref="AI26:AI27">
    <cfRule type="duplicateValues" dxfId="7760" priority="3560"/>
  </conditionalFormatting>
  <conditionalFormatting sqref="AI26:AI27">
    <cfRule type="duplicateValues" dxfId="7759" priority="3559"/>
  </conditionalFormatting>
  <conditionalFormatting sqref="AI26:AI27">
    <cfRule type="duplicateValues" dxfId="7758" priority="3558"/>
  </conditionalFormatting>
  <conditionalFormatting sqref="AI26:AI27">
    <cfRule type="duplicateValues" dxfId="7757" priority="3557"/>
  </conditionalFormatting>
  <conditionalFormatting sqref="AI26:AI27">
    <cfRule type="duplicateValues" dxfId="7756" priority="3556"/>
  </conditionalFormatting>
  <conditionalFormatting sqref="AI26:AI27">
    <cfRule type="duplicateValues" dxfId="7755" priority="3555"/>
  </conditionalFormatting>
  <conditionalFormatting sqref="AI26:AI27">
    <cfRule type="duplicateValues" dxfId="7754" priority="3554"/>
  </conditionalFormatting>
  <conditionalFormatting sqref="AI26:AI27">
    <cfRule type="duplicateValues" dxfId="7753" priority="3553"/>
  </conditionalFormatting>
  <conditionalFormatting sqref="AI26:AI27">
    <cfRule type="duplicateValues" dxfId="7752" priority="3552"/>
  </conditionalFormatting>
  <conditionalFormatting sqref="AI26:AI27">
    <cfRule type="duplicateValues" dxfId="7751" priority="3551"/>
  </conditionalFormatting>
  <conditionalFormatting sqref="AI26:AI27">
    <cfRule type="duplicateValues" dxfId="7750" priority="3550"/>
  </conditionalFormatting>
  <conditionalFormatting sqref="AI26:AI27">
    <cfRule type="duplicateValues" dxfId="7749" priority="3549"/>
  </conditionalFormatting>
  <conditionalFormatting sqref="AI26:AI27">
    <cfRule type="duplicateValues" dxfId="7748" priority="3548"/>
  </conditionalFormatting>
  <conditionalFormatting sqref="AI26:AI27">
    <cfRule type="duplicateValues" dxfId="7747" priority="3547"/>
  </conditionalFormatting>
  <conditionalFormatting sqref="AI26:AI27">
    <cfRule type="duplicateValues" dxfId="7746" priority="3546"/>
  </conditionalFormatting>
  <conditionalFormatting sqref="AI26:AI27">
    <cfRule type="duplicateValues" dxfId="7745" priority="3545"/>
  </conditionalFormatting>
  <conditionalFormatting sqref="AI26:AI27">
    <cfRule type="duplicateValues" dxfId="7744" priority="3544"/>
  </conditionalFormatting>
  <conditionalFormatting sqref="AI26:AI27">
    <cfRule type="duplicateValues" dxfId="7743" priority="3543"/>
  </conditionalFormatting>
  <conditionalFormatting sqref="AI26:AI27">
    <cfRule type="duplicateValues" dxfId="7742" priority="3542"/>
  </conditionalFormatting>
  <conditionalFormatting sqref="AI26:AI27">
    <cfRule type="duplicateValues" dxfId="7741" priority="3541"/>
  </conditionalFormatting>
  <conditionalFormatting sqref="AI26:AI27">
    <cfRule type="duplicateValues" dxfId="7740" priority="3540"/>
  </conditionalFormatting>
  <conditionalFormatting sqref="AI26:AI27">
    <cfRule type="duplicateValues" dxfId="7739" priority="3539"/>
  </conditionalFormatting>
  <conditionalFormatting sqref="AI26:AI27">
    <cfRule type="duplicateValues" dxfId="7738" priority="3537" stopIfTrue="1"/>
    <cfRule type="duplicateValues" dxfId="7737" priority="3538"/>
  </conditionalFormatting>
  <conditionalFormatting sqref="AI26:AI27">
    <cfRule type="duplicateValues" dxfId="7736" priority="3536"/>
  </conditionalFormatting>
  <conditionalFormatting sqref="AI26:AI27">
    <cfRule type="duplicateValues" dxfId="7735" priority="3535"/>
  </conditionalFormatting>
  <conditionalFormatting sqref="AI26:AI27">
    <cfRule type="duplicateValues" dxfId="7734" priority="3534"/>
  </conditionalFormatting>
  <conditionalFormatting sqref="AI26:AI27">
    <cfRule type="duplicateValues" dxfId="7733" priority="3533"/>
  </conditionalFormatting>
  <conditionalFormatting sqref="AI26:AI27">
    <cfRule type="duplicateValues" dxfId="7732" priority="3531" stopIfTrue="1"/>
    <cfRule type="duplicateValues" dxfId="7731" priority="3532"/>
  </conditionalFormatting>
  <conditionalFormatting sqref="AI26:AI27">
    <cfRule type="duplicateValues" dxfId="7730" priority="3530"/>
  </conditionalFormatting>
  <conditionalFormatting sqref="AI26:AI27">
    <cfRule type="duplicateValues" dxfId="7729" priority="3528" stopIfTrue="1"/>
    <cfRule type="duplicateValues" dxfId="7728" priority="3529"/>
  </conditionalFormatting>
  <conditionalFormatting sqref="AI26:AI27">
    <cfRule type="duplicateValues" dxfId="7727" priority="3527"/>
  </conditionalFormatting>
  <conditionalFormatting sqref="AI26:AI27">
    <cfRule type="duplicateValues" dxfId="7726" priority="3525" stopIfTrue="1"/>
    <cfRule type="duplicateValues" dxfId="7725" priority="3526"/>
  </conditionalFormatting>
  <conditionalFormatting sqref="AI26:AI27">
    <cfRule type="duplicateValues" dxfId="7724" priority="3524"/>
  </conditionalFormatting>
  <conditionalFormatting sqref="AI26:AI27">
    <cfRule type="duplicateValues" dxfId="7723" priority="3522" stopIfTrue="1"/>
    <cfRule type="duplicateValues" dxfId="7722" priority="3523"/>
  </conditionalFormatting>
  <conditionalFormatting sqref="AI26:AI27">
    <cfRule type="duplicateValues" dxfId="7721" priority="3521"/>
  </conditionalFormatting>
  <conditionalFormatting sqref="AI26:AI27">
    <cfRule type="duplicateValues" dxfId="7720" priority="3519" stopIfTrue="1"/>
    <cfRule type="duplicateValues" dxfId="7719" priority="3520"/>
  </conditionalFormatting>
  <conditionalFormatting sqref="AI26:AI27">
    <cfRule type="duplicateValues" dxfId="7718" priority="3518"/>
  </conditionalFormatting>
  <conditionalFormatting sqref="AI26:AI27">
    <cfRule type="duplicateValues" dxfId="7717" priority="3517"/>
  </conditionalFormatting>
  <conditionalFormatting sqref="AI26:AI27">
    <cfRule type="duplicateValues" dxfId="7716" priority="3516"/>
  </conditionalFormatting>
  <conditionalFormatting sqref="AI26:AI27">
    <cfRule type="duplicateValues" dxfId="7715" priority="3515"/>
  </conditionalFormatting>
  <conditionalFormatting sqref="AI26:AI27">
    <cfRule type="duplicateValues" dxfId="7714" priority="3514"/>
  </conditionalFormatting>
  <conditionalFormatting sqref="AI26:AI27">
    <cfRule type="duplicateValues" dxfId="7713" priority="3513"/>
  </conditionalFormatting>
  <conditionalFormatting sqref="AI26:AI27">
    <cfRule type="duplicateValues" dxfId="7712" priority="3512"/>
  </conditionalFormatting>
  <conditionalFormatting sqref="AI26:AI27">
    <cfRule type="duplicateValues" dxfId="7711" priority="3511"/>
  </conditionalFormatting>
  <conditionalFormatting sqref="AI26:AI27">
    <cfRule type="duplicateValues" dxfId="7710" priority="3510"/>
  </conditionalFormatting>
  <conditionalFormatting sqref="AI26:AI27">
    <cfRule type="duplicateValues" dxfId="7709" priority="3509"/>
  </conditionalFormatting>
  <conditionalFormatting sqref="AI26:AI27">
    <cfRule type="duplicateValues" dxfId="7708" priority="3508"/>
  </conditionalFormatting>
  <conditionalFormatting sqref="AI26:AI27">
    <cfRule type="duplicateValues" dxfId="7707" priority="3507"/>
  </conditionalFormatting>
  <conditionalFormatting sqref="AI26:AI27">
    <cfRule type="duplicateValues" dxfId="7706" priority="3506"/>
  </conditionalFormatting>
  <conditionalFormatting sqref="AI26:AI27">
    <cfRule type="duplicateValues" dxfId="7705" priority="3505"/>
  </conditionalFormatting>
  <conditionalFormatting sqref="AI26:AI27">
    <cfRule type="duplicateValues" dxfId="7704" priority="3504"/>
  </conditionalFormatting>
  <conditionalFormatting sqref="AI26:AI27">
    <cfRule type="duplicateValues" dxfId="7703" priority="3503"/>
  </conditionalFormatting>
  <conditionalFormatting sqref="AI26:AI27">
    <cfRule type="duplicateValues" dxfId="7702" priority="3502"/>
  </conditionalFormatting>
  <conditionalFormatting sqref="AI26:AI27">
    <cfRule type="duplicateValues" dxfId="7701" priority="3501"/>
  </conditionalFormatting>
  <conditionalFormatting sqref="AI26:AI27">
    <cfRule type="duplicateValues" dxfId="7700" priority="3500"/>
  </conditionalFormatting>
  <conditionalFormatting sqref="AI26:AI27">
    <cfRule type="duplicateValues" dxfId="7699" priority="3499"/>
  </conditionalFormatting>
  <conditionalFormatting sqref="AI26:AI27">
    <cfRule type="duplicateValues" dxfId="7698" priority="3498"/>
  </conditionalFormatting>
  <conditionalFormatting sqref="AI26:AI27">
    <cfRule type="duplicateValues" dxfId="7697" priority="3497"/>
  </conditionalFormatting>
  <conditionalFormatting sqref="AI26:AI27">
    <cfRule type="duplicateValues" dxfId="7696" priority="3496"/>
  </conditionalFormatting>
  <conditionalFormatting sqref="AI26:AI27">
    <cfRule type="duplicateValues" dxfId="7695" priority="3495"/>
  </conditionalFormatting>
  <conditionalFormatting sqref="AI26:AI27">
    <cfRule type="duplicateValues" dxfId="7694" priority="3494"/>
  </conditionalFormatting>
  <conditionalFormatting sqref="AI26:AI27">
    <cfRule type="duplicateValues" dxfId="7693" priority="3493"/>
  </conditionalFormatting>
  <conditionalFormatting sqref="AI26:AI27">
    <cfRule type="duplicateValues" dxfId="7692" priority="3492"/>
  </conditionalFormatting>
  <conditionalFormatting sqref="AI26:AI27">
    <cfRule type="duplicateValues" dxfId="7691" priority="3491"/>
  </conditionalFormatting>
  <conditionalFormatting sqref="AI26:AI27">
    <cfRule type="duplicateValues" dxfId="7690" priority="3490"/>
  </conditionalFormatting>
  <conditionalFormatting sqref="AI26:AI27">
    <cfRule type="duplicateValues" dxfId="7689" priority="3489"/>
  </conditionalFormatting>
  <conditionalFormatting sqref="AI26:AI27">
    <cfRule type="duplicateValues" dxfId="7688" priority="3488"/>
  </conditionalFormatting>
  <conditionalFormatting sqref="AI26:AI27">
    <cfRule type="duplicateValues" dxfId="7687" priority="3487"/>
  </conditionalFormatting>
  <conditionalFormatting sqref="AI26:AI27">
    <cfRule type="duplicateValues" dxfId="7686" priority="3486"/>
  </conditionalFormatting>
  <conditionalFormatting sqref="AI26:AI27">
    <cfRule type="duplicateValues" dxfId="7685" priority="3485"/>
  </conditionalFormatting>
  <conditionalFormatting sqref="AI26:AI27">
    <cfRule type="duplicateValues" dxfId="7684" priority="3484"/>
  </conditionalFormatting>
  <conditionalFormatting sqref="AI26:AI27">
    <cfRule type="duplicateValues" dxfId="7683" priority="3483"/>
  </conditionalFormatting>
  <conditionalFormatting sqref="AI26:AI27">
    <cfRule type="duplicateValues" dxfId="7682" priority="3482"/>
  </conditionalFormatting>
  <conditionalFormatting sqref="AI26:AI27">
    <cfRule type="duplicateValues" dxfId="7681" priority="3481"/>
  </conditionalFormatting>
  <conditionalFormatting sqref="AI26:AI27">
    <cfRule type="duplicateValues" dxfId="7680" priority="3480"/>
  </conditionalFormatting>
  <conditionalFormatting sqref="AI26:AI27">
    <cfRule type="duplicateValues" dxfId="7679" priority="3479"/>
  </conditionalFormatting>
  <conditionalFormatting sqref="AI26:AI27">
    <cfRule type="duplicateValues" dxfId="7678" priority="3477" stopIfTrue="1"/>
    <cfRule type="duplicateValues" dxfId="7677" priority="3478"/>
  </conditionalFormatting>
  <conditionalFormatting sqref="AI26:AI27">
    <cfRule type="duplicateValues" dxfId="7676" priority="3476"/>
  </conditionalFormatting>
  <conditionalFormatting sqref="AI26:AI27">
    <cfRule type="duplicateValues" dxfId="7675" priority="3475"/>
  </conditionalFormatting>
  <conditionalFormatting sqref="AI26:AI27">
    <cfRule type="duplicateValues" dxfId="7674" priority="3474"/>
  </conditionalFormatting>
  <conditionalFormatting sqref="AI26:AI27">
    <cfRule type="duplicateValues" dxfId="7673" priority="3473"/>
  </conditionalFormatting>
  <conditionalFormatting sqref="AI26:AI27">
    <cfRule type="duplicateValues" dxfId="7672" priority="3471" stopIfTrue="1"/>
    <cfRule type="duplicateValues" dxfId="7671" priority="3472"/>
  </conditionalFormatting>
  <conditionalFormatting sqref="AH11">
    <cfRule type="duplicateValues" dxfId="7670" priority="3470"/>
  </conditionalFormatting>
  <conditionalFormatting sqref="AH11">
    <cfRule type="duplicateValues" dxfId="7669" priority="3469"/>
  </conditionalFormatting>
  <conditionalFormatting sqref="AH11">
    <cfRule type="duplicateValues" dxfId="7668" priority="3468"/>
  </conditionalFormatting>
  <conditionalFormatting sqref="AH11">
    <cfRule type="duplicateValues" dxfId="7667" priority="3467"/>
  </conditionalFormatting>
  <conditionalFormatting sqref="AH11">
    <cfRule type="duplicateValues" dxfId="7666" priority="3466"/>
  </conditionalFormatting>
  <conditionalFormatting sqref="AH11">
    <cfRule type="duplicateValues" dxfId="7665" priority="3465"/>
  </conditionalFormatting>
  <conditionalFormatting sqref="AH11">
    <cfRule type="duplicateValues" dxfId="7664" priority="3464"/>
  </conditionalFormatting>
  <conditionalFormatting sqref="AH11">
    <cfRule type="duplicateValues" dxfId="7663" priority="3463"/>
  </conditionalFormatting>
  <conditionalFormatting sqref="AH11">
    <cfRule type="duplicateValues" dxfId="7662" priority="3462"/>
  </conditionalFormatting>
  <conditionalFormatting sqref="AH11">
    <cfRule type="duplicateValues" dxfId="7661" priority="3461"/>
  </conditionalFormatting>
  <conditionalFormatting sqref="AH11">
    <cfRule type="duplicateValues" dxfId="7660" priority="3460"/>
  </conditionalFormatting>
  <conditionalFormatting sqref="AH11">
    <cfRule type="duplicateValues" dxfId="7659" priority="3459"/>
  </conditionalFormatting>
  <conditionalFormatting sqref="AH11">
    <cfRule type="duplicateValues" dxfId="7658" priority="3458"/>
  </conditionalFormatting>
  <conditionalFormatting sqref="AH11">
    <cfRule type="duplicateValues" dxfId="7657" priority="3457"/>
  </conditionalFormatting>
  <conditionalFormatting sqref="AH11">
    <cfRule type="duplicateValues" dxfId="7656" priority="3456"/>
  </conditionalFormatting>
  <conditionalFormatting sqref="AH11">
    <cfRule type="duplicateValues" dxfId="7655" priority="3455"/>
  </conditionalFormatting>
  <conditionalFormatting sqref="AH11">
    <cfRule type="duplicateValues" dxfId="7654" priority="3454"/>
  </conditionalFormatting>
  <conditionalFormatting sqref="AH11">
    <cfRule type="duplicateValues" dxfId="7653" priority="3453"/>
  </conditionalFormatting>
  <conditionalFormatting sqref="AH11">
    <cfRule type="duplicateValues" dxfId="7652" priority="3452"/>
  </conditionalFormatting>
  <conditionalFormatting sqref="AH11">
    <cfRule type="duplicateValues" dxfId="7651" priority="3451"/>
  </conditionalFormatting>
  <conditionalFormatting sqref="AH11">
    <cfRule type="duplicateValues" dxfId="7650" priority="3450"/>
  </conditionalFormatting>
  <conditionalFormatting sqref="AH11">
    <cfRule type="duplicateValues" dxfId="7649" priority="3449"/>
  </conditionalFormatting>
  <conditionalFormatting sqref="AH11">
    <cfRule type="duplicateValues" dxfId="7648" priority="3448"/>
  </conditionalFormatting>
  <conditionalFormatting sqref="AH11">
    <cfRule type="duplicateValues" dxfId="7647" priority="3447"/>
  </conditionalFormatting>
  <conditionalFormatting sqref="AH11">
    <cfRule type="duplicateValues" dxfId="7646" priority="3446"/>
  </conditionalFormatting>
  <conditionalFormatting sqref="AH11">
    <cfRule type="duplicateValues" dxfId="7645" priority="3445"/>
  </conditionalFormatting>
  <conditionalFormatting sqref="AH11">
    <cfRule type="duplicateValues" dxfId="7644" priority="3444"/>
  </conditionalFormatting>
  <conditionalFormatting sqref="AH11">
    <cfRule type="duplicateValues" dxfId="7643" priority="3443"/>
  </conditionalFormatting>
  <conditionalFormatting sqref="AH11">
    <cfRule type="duplicateValues" dxfId="7642" priority="3442"/>
  </conditionalFormatting>
  <conditionalFormatting sqref="AH11">
    <cfRule type="duplicateValues" dxfId="7641" priority="3441"/>
  </conditionalFormatting>
  <conditionalFormatting sqref="AH11">
    <cfRule type="duplicateValues" dxfId="7640" priority="3440"/>
  </conditionalFormatting>
  <conditionalFormatting sqref="AH11">
    <cfRule type="duplicateValues" dxfId="7639" priority="3439"/>
  </conditionalFormatting>
  <conditionalFormatting sqref="AH11">
    <cfRule type="duplicateValues" dxfId="7638" priority="3438"/>
  </conditionalFormatting>
  <conditionalFormatting sqref="AH11">
    <cfRule type="duplicateValues" dxfId="7637" priority="3437"/>
  </conditionalFormatting>
  <conditionalFormatting sqref="AH11">
    <cfRule type="duplicateValues" dxfId="7636" priority="3436"/>
  </conditionalFormatting>
  <conditionalFormatting sqref="AH11">
    <cfRule type="duplicateValues" dxfId="7635" priority="3435"/>
  </conditionalFormatting>
  <conditionalFormatting sqref="AH11">
    <cfRule type="duplicateValues" dxfId="7634" priority="3434"/>
  </conditionalFormatting>
  <conditionalFormatting sqref="AH11">
    <cfRule type="duplicateValues" dxfId="7633" priority="3433"/>
  </conditionalFormatting>
  <conditionalFormatting sqref="AH11">
    <cfRule type="duplicateValues" dxfId="7632" priority="3432"/>
  </conditionalFormatting>
  <conditionalFormatting sqref="AH11">
    <cfRule type="duplicateValues" dxfId="7631" priority="3431"/>
  </conditionalFormatting>
  <conditionalFormatting sqref="AH11">
    <cfRule type="duplicateValues" dxfId="7630" priority="3430"/>
  </conditionalFormatting>
  <conditionalFormatting sqref="AH11">
    <cfRule type="duplicateValues" dxfId="7629" priority="3429"/>
  </conditionalFormatting>
  <conditionalFormatting sqref="AH11">
    <cfRule type="duplicateValues" dxfId="7628" priority="3428"/>
  </conditionalFormatting>
  <conditionalFormatting sqref="AH11">
    <cfRule type="duplicateValues" dxfId="7627" priority="3427"/>
  </conditionalFormatting>
  <conditionalFormatting sqref="AH11">
    <cfRule type="duplicateValues" dxfId="7626" priority="3426"/>
  </conditionalFormatting>
  <conditionalFormatting sqref="AH11">
    <cfRule type="duplicateValues" dxfId="7625" priority="3425"/>
  </conditionalFormatting>
  <conditionalFormatting sqref="AH11">
    <cfRule type="duplicateValues" dxfId="7624" priority="3424"/>
  </conditionalFormatting>
  <conditionalFormatting sqref="AI39">
    <cfRule type="duplicateValues" dxfId="7623" priority="3423"/>
  </conditionalFormatting>
  <conditionalFormatting sqref="AI39">
    <cfRule type="duplicateValues" dxfId="7622" priority="3422"/>
  </conditionalFormatting>
  <conditionalFormatting sqref="AI39">
    <cfRule type="duplicateValues" dxfId="7621" priority="3421"/>
  </conditionalFormatting>
  <conditionalFormatting sqref="AI39">
    <cfRule type="duplicateValues" dxfId="7620" priority="3420"/>
  </conditionalFormatting>
  <conditionalFormatting sqref="AI39">
    <cfRule type="duplicateValues" dxfId="7619" priority="3419"/>
  </conditionalFormatting>
  <conditionalFormatting sqref="AI39">
    <cfRule type="duplicateValues" dxfId="7618" priority="3418"/>
  </conditionalFormatting>
  <conditionalFormatting sqref="AI39">
    <cfRule type="duplicateValues" dxfId="7617" priority="3417"/>
  </conditionalFormatting>
  <conditionalFormatting sqref="AI39">
    <cfRule type="duplicateValues" dxfId="7616" priority="3416"/>
  </conditionalFormatting>
  <conditionalFormatting sqref="AI39">
    <cfRule type="duplicateValues" dxfId="7615" priority="3415"/>
  </conditionalFormatting>
  <conditionalFormatting sqref="AI39">
    <cfRule type="duplicateValues" dxfId="7614" priority="3414"/>
  </conditionalFormatting>
  <conditionalFormatting sqref="AI39">
    <cfRule type="duplicateValues" dxfId="7613" priority="3413"/>
  </conditionalFormatting>
  <conditionalFormatting sqref="AI39">
    <cfRule type="duplicateValues" dxfId="7612" priority="3412"/>
  </conditionalFormatting>
  <conditionalFormatting sqref="AI39">
    <cfRule type="duplicateValues" dxfId="7611" priority="3411"/>
  </conditionalFormatting>
  <conditionalFormatting sqref="AI39">
    <cfRule type="duplicateValues" dxfId="7610" priority="3410"/>
  </conditionalFormatting>
  <conditionalFormatting sqref="AI39">
    <cfRule type="duplicateValues" dxfId="7609" priority="3409"/>
  </conditionalFormatting>
  <conditionalFormatting sqref="AI39">
    <cfRule type="duplicateValues" dxfId="7608" priority="3408"/>
  </conditionalFormatting>
  <conditionalFormatting sqref="AI39">
    <cfRule type="duplicateValues" dxfId="7607" priority="3407"/>
  </conditionalFormatting>
  <conditionalFormatting sqref="AI39">
    <cfRule type="duplicateValues" dxfId="7606" priority="3406"/>
  </conditionalFormatting>
  <conditionalFormatting sqref="AI39">
    <cfRule type="duplicateValues" dxfId="7605" priority="3405"/>
  </conditionalFormatting>
  <conditionalFormatting sqref="AI39">
    <cfRule type="duplicateValues" dxfId="7604" priority="3403" stopIfTrue="1"/>
    <cfRule type="duplicateValues" dxfId="7603" priority="3404"/>
  </conditionalFormatting>
  <conditionalFormatting sqref="AI39">
    <cfRule type="duplicateValues" dxfId="7602" priority="3402"/>
  </conditionalFormatting>
  <conditionalFormatting sqref="AI39">
    <cfRule type="duplicateValues" dxfId="7601" priority="3401"/>
  </conditionalFormatting>
  <conditionalFormatting sqref="AI39">
    <cfRule type="duplicateValues" dxfId="7600" priority="3400"/>
  </conditionalFormatting>
  <conditionalFormatting sqref="AI39">
    <cfRule type="duplicateValues" dxfId="7599" priority="3399"/>
  </conditionalFormatting>
  <conditionalFormatting sqref="AI39">
    <cfRule type="duplicateValues" dxfId="7598" priority="3397" stopIfTrue="1"/>
    <cfRule type="duplicateValues" dxfId="7597" priority="3398"/>
  </conditionalFormatting>
  <conditionalFormatting sqref="AI39">
    <cfRule type="duplicateValues" dxfId="7596" priority="3396"/>
  </conditionalFormatting>
  <conditionalFormatting sqref="AI39">
    <cfRule type="duplicateValues" dxfId="7595" priority="3394" stopIfTrue="1"/>
    <cfRule type="duplicateValues" dxfId="7594" priority="3395"/>
  </conditionalFormatting>
  <conditionalFormatting sqref="AI39">
    <cfRule type="duplicateValues" dxfId="7593" priority="3393"/>
  </conditionalFormatting>
  <conditionalFormatting sqref="AI39">
    <cfRule type="duplicateValues" dxfId="7592" priority="3392"/>
  </conditionalFormatting>
  <conditionalFormatting sqref="AI39">
    <cfRule type="duplicateValues" dxfId="7591" priority="3391"/>
  </conditionalFormatting>
  <conditionalFormatting sqref="AI39">
    <cfRule type="duplicateValues" dxfId="7590" priority="3389" stopIfTrue="1"/>
    <cfRule type="duplicateValues" dxfId="7589" priority="3390"/>
  </conditionalFormatting>
  <conditionalFormatting sqref="AI39">
    <cfRule type="duplicateValues" dxfId="7588" priority="3388"/>
  </conditionalFormatting>
  <conditionalFormatting sqref="AI39">
    <cfRule type="duplicateValues" dxfId="7587" priority="3386" stopIfTrue="1"/>
    <cfRule type="duplicateValues" dxfId="7586" priority="3387"/>
  </conditionalFormatting>
  <conditionalFormatting sqref="AI39">
    <cfRule type="duplicateValues" dxfId="7585" priority="3385"/>
  </conditionalFormatting>
  <conditionalFormatting sqref="AI39">
    <cfRule type="duplicateValues" dxfId="7584" priority="3384"/>
  </conditionalFormatting>
  <conditionalFormatting sqref="AI39">
    <cfRule type="duplicateValues" dxfId="7583" priority="3382" stopIfTrue="1"/>
    <cfRule type="duplicateValues" dxfId="7582" priority="3383"/>
  </conditionalFormatting>
  <conditionalFormatting sqref="AI39">
    <cfRule type="duplicateValues" dxfId="7581" priority="3381"/>
  </conditionalFormatting>
  <conditionalFormatting sqref="AI39">
    <cfRule type="duplicateValues" dxfId="7580" priority="3379" stopIfTrue="1"/>
    <cfRule type="duplicateValues" dxfId="7579" priority="3380"/>
  </conditionalFormatting>
  <conditionalFormatting sqref="AI39">
    <cfRule type="duplicateValues" dxfId="7578" priority="3378"/>
  </conditionalFormatting>
  <conditionalFormatting sqref="AI39">
    <cfRule type="duplicateValues" dxfId="7577" priority="3377"/>
  </conditionalFormatting>
  <conditionalFormatting sqref="AI39">
    <cfRule type="duplicateValues" dxfId="7576" priority="3375" stopIfTrue="1"/>
    <cfRule type="duplicateValues" dxfId="7575" priority="3376"/>
  </conditionalFormatting>
  <conditionalFormatting sqref="AI39">
    <cfRule type="duplicateValues" dxfId="7574" priority="3374"/>
  </conditionalFormatting>
  <conditionalFormatting sqref="AI39">
    <cfRule type="duplicateValues" dxfId="7573" priority="3373"/>
  </conditionalFormatting>
  <conditionalFormatting sqref="AI39">
    <cfRule type="duplicateValues" dxfId="7572" priority="3372"/>
  </conditionalFormatting>
  <conditionalFormatting sqref="AI39">
    <cfRule type="duplicateValues" dxfId="7571" priority="3371"/>
  </conditionalFormatting>
  <conditionalFormatting sqref="AI39">
    <cfRule type="duplicateValues" dxfId="7570" priority="3370"/>
  </conditionalFormatting>
  <conditionalFormatting sqref="AI39">
    <cfRule type="duplicateValues" dxfId="7569" priority="3368" stopIfTrue="1"/>
    <cfRule type="duplicateValues" dxfId="7568" priority="3369"/>
  </conditionalFormatting>
  <conditionalFormatting sqref="AI39">
    <cfRule type="duplicateValues" dxfId="7567" priority="3367"/>
  </conditionalFormatting>
  <conditionalFormatting sqref="AI39">
    <cfRule type="duplicateValues" dxfId="7566" priority="3366"/>
  </conditionalFormatting>
  <conditionalFormatting sqref="AI39">
    <cfRule type="duplicateValues" dxfId="7565" priority="3365"/>
  </conditionalFormatting>
  <conditionalFormatting sqref="AI39">
    <cfRule type="duplicateValues" dxfId="7564" priority="3364"/>
  </conditionalFormatting>
  <conditionalFormatting sqref="AI39">
    <cfRule type="duplicateValues" dxfId="7563" priority="3362" stopIfTrue="1"/>
    <cfRule type="duplicateValues" dxfId="7562" priority="3363"/>
  </conditionalFormatting>
  <conditionalFormatting sqref="AI39">
    <cfRule type="duplicateValues" dxfId="7561" priority="3361"/>
  </conditionalFormatting>
  <conditionalFormatting sqref="AI39">
    <cfRule type="duplicateValues" dxfId="7560" priority="3359" stopIfTrue="1"/>
    <cfRule type="duplicateValues" dxfId="7559" priority="3360"/>
  </conditionalFormatting>
  <conditionalFormatting sqref="AI39">
    <cfRule type="duplicateValues" dxfId="7558" priority="3358"/>
  </conditionalFormatting>
  <conditionalFormatting sqref="AI39">
    <cfRule type="duplicateValues" dxfId="7557" priority="3357"/>
  </conditionalFormatting>
  <conditionalFormatting sqref="AI39">
    <cfRule type="duplicateValues" dxfId="7556" priority="3356"/>
  </conditionalFormatting>
  <conditionalFormatting sqref="AI39">
    <cfRule type="duplicateValues" dxfId="7555" priority="3354" stopIfTrue="1"/>
    <cfRule type="duplicateValues" dxfId="7554" priority="3355"/>
  </conditionalFormatting>
  <conditionalFormatting sqref="AI39">
    <cfRule type="duplicateValues" dxfId="7553" priority="3353"/>
  </conditionalFormatting>
  <conditionalFormatting sqref="AI39">
    <cfRule type="duplicateValues" dxfId="7552" priority="3351" stopIfTrue="1"/>
    <cfRule type="duplicateValues" dxfId="7551" priority="3352"/>
  </conditionalFormatting>
  <conditionalFormatting sqref="AI39">
    <cfRule type="duplicateValues" dxfId="7550" priority="3350"/>
  </conditionalFormatting>
  <conditionalFormatting sqref="AI39">
    <cfRule type="duplicateValues" dxfId="7549" priority="3349"/>
  </conditionalFormatting>
  <conditionalFormatting sqref="AI39">
    <cfRule type="duplicateValues" dxfId="7548" priority="3347" stopIfTrue="1"/>
    <cfRule type="duplicateValues" dxfId="7547" priority="3348"/>
  </conditionalFormatting>
  <conditionalFormatting sqref="AI39">
    <cfRule type="duplicateValues" dxfId="7546" priority="3346"/>
  </conditionalFormatting>
  <conditionalFormatting sqref="AI39">
    <cfRule type="duplicateValues" dxfId="7545" priority="3344" stopIfTrue="1"/>
    <cfRule type="duplicateValues" dxfId="7544" priority="3345"/>
  </conditionalFormatting>
  <conditionalFormatting sqref="AI39">
    <cfRule type="duplicateValues" dxfId="7543" priority="3343"/>
  </conditionalFormatting>
  <conditionalFormatting sqref="AI39">
    <cfRule type="duplicateValues" dxfId="7542" priority="3342"/>
  </conditionalFormatting>
  <conditionalFormatting sqref="AI39">
    <cfRule type="duplicateValues" dxfId="7541" priority="3340" stopIfTrue="1"/>
    <cfRule type="duplicateValues" dxfId="7540" priority="3341"/>
  </conditionalFormatting>
  <conditionalFormatting sqref="AI39">
    <cfRule type="duplicateValues" dxfId="7539" priority="3339"/>
  </conditionalFormatting>
  <conditionalFormatting sqref="AI39">
    <cfRule type="duplicateValues" dxfId="7538" priority="3338"/>
  </conditionalFormatting>
  <conditionalFormatting sqref="AI39">
    <cfRule type="duplicateValues" dxfId="7537" priority="3337"/>
  </conditionalFormatting>
  <conditionalFormatting sqref="AI39">
    <cfRule type="duplicateValues" dxfId="7536" priority="3336"/>
  </conditionalFormatting>
  <conditionalFormatting sqref="AI39">
    <cfRule type="duplicateValues" dxfId="7535" priority="3335"/>
  </conditionalFormatting>
  <conditionalFormatting sqref="AI39">
    <cfRule type="duplicateValues" dxfId="7534" priority="3334"/>
  </conditionalFormatting>
  <conditionalFormatting sqref="AI39">
    <cfRule type="duplicateValues" dxfId="7533" priority="3333"/>
  </conditionalFormatting>
  <conditionalFormatting sqref="AI39">
    <cfRule type="duplicateValues" dxfId="7532" priority="3332"/>
  </conditionalFormatting>
  <conditionalFormatting sqref="AI39">
    <cfRule type="duplicateValues" dxfId="7531" priority="3331"/>
  </conditionalFormatting>
  <conditionalFormatting sqref="AI39">
    <cfRule type="duplicateValues" dxfId="7530" priority="3330"/>
  </conditionalFormatting>
  <conditionalFormatting sqref="AI39">
    <cfRule type="duplicateValues" dxfId="7529" priority="3329"/>
  </conditionalFormatting>
  <conditionalFormatting sqref="AI39">
    <cfRule type="duplicateValues" dxfId="7528" priority="3328"/>
  </conditionalFormatting>
  <conditionalFormatting sqref="AI39">
    <cfRule type="duplicateValues" dxfId="7527" priority="3327"/>
  </conditionalFormatting>
  <conditionalFormatting sqref="AI39">
    <cfRule type="duplicateValues" dxfId="7526" priority="3326"/>
  </conditionalFormatting>
  <conditionalFormatting sqref="AI39">
    <cfRule type="duplicateValues" dxfId="7525" priority="3325"/>
  </conditionalFormatting>
  <conditionalFormatting sqref="AI39">
    <cfRule type="duplicateValues" dxfId="7524" priority="3324"/>
  </conditionalFormatting>
  <conditionalFormatting sqref="AI39">
    <cfRule type="duplicateValues" dxfId="7523" priority="3323"/>
  </conditionalFormatting>
  <conditionalFormatting sqref="AI39">
    <cfRule type="duplicateValues" dxfId="7522" priority="3322"/>
  </conditionalFormatting>
  <conditionalFormatting sqref="AI39">
    <cfRule type="duplicateValues" dxfId="7521" priority="3321"/>
  </conditionalFormatting>
  <conditionalFormatting sqref="AI39">
    <cfRule type="duplicateValues" dxfId="7520" priority="3320"/>
  </conditionalFormatting>
  <conditionalFormatting sqref="AI39">
    <cfRule type="duplicateValues" dxfId="7519" priority="3319"/>
  </conditionalFormatting>
  <conditionalFormatting sqref="AI39">
    <cfRule type="duplicateValues" dxfId="7518" priority="3318"/>
  </conditionalFormatting>
  <conditionalFormatting sqref="AI39">
    <cfRule type="duplicateValues" dxfId="7517" priority="3317"/>
  </conditionalFormatting>
  <conditionalFormatting sqref="AI39">
    <cfRule type="duplicateValues" dxfId="7516" priority="3316"/>
  </conditionalFormatting>
  <conditionalFormatting sqref="AI39">
    <cfRule type="duplicateValues" dxfId="7515" priority="3314" stopIfTrue="1"/>
    <cfRule type="duplicateValues" dxfId="7514" priority="3315"/>
  </conditionalFormatting>
  <conditionalFormatting sqref="AI39">
    <cfRule type="duplicateValues" dxfId="7513" priority="3313"/>
  </conditionalFormatting>
  <conditionalFormatting sqref="AI39">
    <cfRule type="duplicateValues" dxfId="7512" priority="3311" stopIfTrue="1"/>
    <cfRule type="duplicateValues" dxfId="7511" priority="3312"/>
  </conditionalFormatting>
  <conditionalFormatting sqref="AI39">
    <cfRule type="duplicateValues" dxfId="7510" priority="3310"/>
  </conditionalFormatting>
  <conditionalFormatting sqref="AI39">
    <cfRule type="duplicateValues" dxfId="7509" priority="3308" stopIfTrue="1"/>
    <cfRule type="duplicateValues" dxfId="7508" priority="3309"/>
  </conditionalFormatting>
  <conditionalFormatting sqref="AI39">
    <cfRule type="duplicateValues" dxfId="7507" priority="3307"/>
  </conditionalFormatting>
  <conditionalFormatting sqref="AI39">
    <cfRule type="duplicateValues" dxfId="7506" priority="3306"/>
  </conditionalFormatting>
  <conditionalFormatting sqref="AI39">
    <cfRule type="duplicateValues" dxfId="7505" priority="3304" stopIfTrue="1"/>
    <cfRule type="duplicateValues" dxfId="7504" priority="3305"/>
  </conditionalFormatting>
  <conditionalFormatting sqref="AI39">
    <cfRule type="duplicateValues" dxfId="7503" priority="3303"/>
  </conditionalFormatting>
  <conditionalFormatting sqref="AI39">
    <cfRule type="duplicateValues" dxfId="7502" priority="3302"/>
  </conditionalFormatting>
  <conditionalFormatting sqref="AI39">
    <cfRule type="duplicateValues" dxfId="7501" priority="3300" stopIfTrue="1"/>
    <cfRule type="duplicateValues" dxfId="7500" priority="3301"/>
  </conditionalFormatting>
  <conditionalFormatting sqref="AH32:AH33">
    <cfRule type="duplicateValues" dxfId="7499" priority="3299"/>
  </conditionalFormatting>
  <conditionalFormatting sqref="AH32:AH33">
    <cfRule type="duplicateValues" dxfId="7498" priority="3298"/>
  </conditionalFormatting>
  <conditionalFormatting sqref="AH32:AH33">
    <cfRule type="duplicateValues" dxfId="7497" priority="3297"/>
  </conditionalFormatting>
  <conditionalFormatting sqref="AH13">
    <cfRule type="duplicateValues" dxfId="7496" priority="3296"/>
  </conditionalFormatting>
  <conditionalFormatting sqref="AI13">
    <cfRule type="duplicateValues" dxfId="7495" priority="3295"/>
  </conditionalFormatting>
  <conditionalFormatting sqref="AI13">
    <cfRule type="duplicateValues" dxfId="7494" priority="3294"/>
  </conditionalFormatting>
  <conditionalFormatting sqref="AI13">
    <cfRule type="duplicateValues" dxfId="7493" priority="3293"/>
  </conditionalFormatting>
  <conditionalFormatting sqref="AI13">
    <cfRule type="duplicateValues" dxfId="7492" priority="3292"/>
  </conditionalFormatting>
  <conditionalFormatting sqref="AI13">
    <cfRule type="duplicateValues" dxfId="7491" priority="3291"/>
  </conditionalFormatting>
  <conditionalFormatting sqref="AI13">
    <cfRule type="duplicateValues" dxfId="7490" priority="3290"/>
  </conditionalFormatting>
  <conditionalFormatting sqref="AI13">
    <cfRule type="duplicateValues" dxfId="7489" priority="3289"/>
  </conditionalFormatting>
  <conditionalFormatting sqref="AI13">
    <cfRule type="duplicateValues" dxfId="7488" priority="3288"/>
  </conditionalFormatting>
  <conditionalFormatting sqref="AI13">
    <cfRule type="duplicateValues" dxfId="7487" priority="3287"/>
  </conditionalFormatting>
  <conditionalFormatting sqref="AI13">
    <cfRule type="duplicateValues" dxfId="7486" priority="3286"/>
  </conditionalFormatting>
  <conditionalFormatting sqref="AI13">
    <cfRule type="duplicateValues" dxfId="7485" priority="3285"/>
  </conditionalFormatting>
  <conditionalFormatting sqref="AI13">
    <cfRule type="duplicateValues" dxfId="7484" priority="3284"/>
  </conditionalFormatting>
  <conditionalFormatting sqref="AI13">
    <cfRule type="duplicateValues" dxfId="7483" priority="3283"/>
  </conditionalFormatting>
  <conditionalFormatting sqref="AI13">
    <cfRule type="duplicateValues" dxfId="7482" priority="3282"/>
  </conditionalFormatting>
  <conditionalFormatting sqref="AI13">
    <cfRule type="duplicateValues" dxfId="7481" priority="3281"/>
  </conditionalFormatting>
  <conditionalFormatting sqref="AI13">
    <cfRule type="duplicateValues" dxfId="7480" priority="3280"/>
  </conditionalFormatting>
  <conditionalFormatting sqref="AI13">
    <cfRule type="duplicateValues" dxfId="7479" priority="3279"/>
  </conditionalFormatting>
  <conditionalFormatting sqref="AI13">
    <cfRule type="duplicateValues" dxfId="7478" priority="3278"/>
  </conditionalFormatting>
  <conditionalFormatting sqref="AI13">
    <cfRule type="duplicateValues" dxfId="7477" priority="3276" stopIfTrue="1"/>
    <cfRule type="duplicateValues" dxfId="7476" priority="3277"/>
  </conditionalFormatting>
  <conditionalFormatting sqref="AI13">
    <cfRule type="duplicateValues" dxfId="7475" priority="3275"/>
  </conditionalFormatting>
  <conditionalFormatting sqref="AI13">
    <cfRule type="duplicateValues" dxfId="7474" priority="3273" stopIfTrue="1"/>
    <cfRule type="duplicateValues" dxfId="7473" priority="3274"/>
  </conditionalFormatting>
  <conditionalFormatting sqref="AI13">
    <cfRule type="duplicateValues" dxfId="7472" priority="3272"/>
  </conditionalFormatting>
  <conditionalFormatting sqref="AI13">
    <cfRule type="duplicateValues" dxfId="7471" priority="3270" stopIfTrue="1"/>
    <cfRule type="duplicateValues" dxfId="7470" priority="3271"/>
  </conditionalFormatting>
  <conditionalFormatting sqref="AI13">
    <cfRule type="duplicateValues" dxfId="7469" priority="3269"/>
  </conditionalFormatting>
  <conditionalFormatting sqref="AI13">
    <cfRule type="duplicateValues" dxfId="7468" priority="3267" stopIfTrue="1"/>
    <cfRule type="duplicateValues" dxfId="7467" priority="3268"/>
  </conditionalFormatting>
  <conditionalFormatting sqref="AI13">
    <cfRule type="duplicateValues" dxfId="7466" priority="3266"/>
  </conditionalFormatting>
  <conditionalFormatting sqref="AI13">
    <cfRule type="duplicateValues" dxfId="7465" priority="3264" stopIfTrue="1"/>
    <cfRule type="duplicateValues" dxfId="7464" priority="3265"/>
  </conditionalFormatting>
  <conditionalFormatting sqref="AI13">
    <cfRule type="duplicateValues" dxfId="7463" priority="3263"/>
  </conditionalFormatting>
  <conditionalFormatting sqref="AI13">
    <cfRule type="duplicateValues" dxfId="7462" priority="3261" stopIfTrue="1"/>
    <cfRule type="duplicateValues" dxfId="7461" priority="3262"/>
  </conditionalFormatting>
  <conditionalFormatting sqref="AI13">
    <cfRule type="duplicateValues" dxfId="7460" priority="3260"/>
  </conditionalFormatting>
  <conditionalFormatting sqref="AI13">
    <cfRule type="duplicateValues" dxfId="7459" priority="3258" stopIfTrue="1"/>
    <cfRule type="duplicateValues" dxfId="7458" priority="3259"/>
  </conditionalFormatting>
  <conditionalFormatting sqref="AI13">
    <cfRule type="duplicateValues" dxfId="7457" priority="3257"/>
  </conditionalFormatting>
  <conditionalFormatting sqref="AI13">
    <cfRule type="duplicateValues" dxfId="7456" priority="3256"/>
  </conditionalFormatting>
  <conditionalFormatting sqref="AI13">
    <cfRule type="duplicateValues" dxfId="7455" priority="3255"/>
  </conditionalFormatting>
  <conditionalFormatting sqref="AI13">
    <cfRule type="duplicateValues" dxfId="7454" priority="3254"/>
  </conditionalFormatting>
  <conditionalFormatting sqref="AI13">
    <cfRule type="duplicateValues" dxfId="7453" priority="3252" stopIfTrue="1"/>
    <cfRule type="duplicateValues" dxfId="7452" priority="3253"/>
  </conditionalFormatting>
  <conditionalFormatting sqref="AI13">
    <cfRule type="duplicateValues" dxfId="7451" priority="3251"/>
  </conditionalFormatting>
  <conditionalFormatting sqref="AI13">
    <cfRule type="duplicateValues" dxfId="7450" priority="3250"/>
  </conditionalFormatting>
  <conditionalFormatting sqref="AI13">
    <cfRule type="duplicateValues" dxfId="7449" priority="3248" stopIfTrue="1"/>
    <cfRule type="duplicateValues" dxfId="7448" priority="3249"/>
  </conditionalFormatting>
  <conditionalFormatting sqref="AI13">
    <cfRule type="duplicateValues" dxfId="7447" priority="3247"/>
  </conditionalFormatting>
  <conditionalFormatting sqref="AI13">
    <cfRule type="duplicateValues" dxfId="7446" priority="3245" stopIfTrue="1"/>
    <cfRule type="duplicateValues" dxfId="7445" priority="3246"/>
  </conditionalFormatting>
  <conditionalFormatting sqref="AI13">
    <cfRule type="duplicateValues" dxfId="7444" priority="3244"/>
  </conditionalFormatting>
  <conditionalFormatting sqref="AI13">
    <cfRule type="duplicateValues" dxfId="7443" priority="3242" stopIfTrue="1"/>
    <cfRule type="duplicateValues" dxfId="7442" priority="3243"/>
  </conditionalFormatting>
  <conditionalFormatting sqref="AI13">
    <cfRule type="duplicateValues" dxfId="7441" priority="3241"/>
  </conditionalFormatting>
  <conditionalFormatting sqref="AI13">
    <cfRule type="duplicateValues" dxfId="7440" priority="3239" stopIfTrue="1"/>
    <cfRule type="duplicateValues" dxfId="7439" priority="3240"/>
  </conditionalFormatting>
  <conditionalFormatting sqref="AI13">
    <cfRule type="duplicateValues" dxfId="7438" priority="3238"/>
  </conditionalFormatting>
  <conditionalFormatting sqref="AI13">
    <cfRule type="duplicateValues" dxfId="7437" priority="3236" stopIfTrue="1"/>
    <cfRule type="duplicateValues" dxfId="7436" priority="3237"/>
  </conditionalFormatting>
  <conditionalFormatting sqref="AI13">
    <cfRule type="duplicateValues" dxfId="7435" priority="3235"/>
  </conditionalFormatting>
  <conditionalFormatting sqref="AI13">
    <cfRule type="duplicateValues" dxfId="7434" priority="3234"/>
  </conditionalFormatting>
  <conditionalFormatting sqref="AI13">
    <cfRule type="duplicateValues" dxfId="7433" priority="3233"/>
  </conditionalFormatting>
  <conditionalFormatting sqref="AI13">
    <cfRule type="duplicateValues" dxfId="7432" priority="3232"/>
  </conditionalFormatting>
  <conditionalFormatting sqref="AI13">
    <cfRule type="duplicateValues" dxfId="7431" priority="3231"/>
  </conditionalFormatting>
  <conditionalFormatting sqref="AI13">
    <cfRule type="duplicateValues" dxfId="7430" priority="3230"/>
  </conditionalFormatting>
  <conditionalFormatting sqref="AI13">
    <cfRule type="duplicateValues" dxfId="7429" priority="3229"/>
  </conditionalFormatting>
  <conditionalFormatting sqref="AI13">
    <cfRule type="duplicateValues" dxfId="7428" priority="3228"/>
  </conditionalFormatting>
  <conditionalFormatting sqref="AI13">
    <cfRule type="duplicateValues" dxfId="7427" priority="3227"/>
  </conditionalFormatting>
  <conditionalFormatting sqref="AI13">
    <cfRule type="duplicateValues" dxfId="7426" priority="3226"/>
  </conditionalFormatting>
  <conditionalFormatting sqref="AI13">
    <cfRule type="duplicateValues" dxfId="7425" priority="3225"/>
  </conditionalFormatting>
  <conditionalFormatting sqref="AI13">
    <cfRule type="duplicateValues" dxfId="7424" priority="3224"/>
  </conditionalFormatting>
  <conditionalFormatting sqref="AI13">
    <cfRule type="duplicateValues" dxfId="7423" priority="3222" stopIfTrue="1"/>
    <cfRule type="duplicateValues" dxfId="7422" priority="3223"/>
  </conditionalFormatting>
  <conditionalFormatting sqref="AI13">
    <cfRule type="duplicateValues" dxfId="7421" priority="3221"/>
  </conditionalFormatting>
  <conditionalFormatting sqref="AI13">
    <cfRule type="duplicateValues" dxfId="7420" priority="3219" stopIfTrue="1"/>
    <cfRule type="duplicateValues" dxfId="7419" priority="3220"/>
  </conditionalFormatting>
  <conditionalFormatting sqref="AI13">
    <cfRule type="duplicateValues" dxfId="7418" priority="3218"/>
  </conditionalFormatting>
  <conditionalFormatting sqref="AI13">
    <cfRule type="duplicateValues" dxfId="7417" priority="3216" stopIfTrue="1"/>
    <cfRule type="duplicateValues" dxfId="7416" priority="3217"/>
  </conditionalFormatting>
  <conditionalFormatting sqref="AI13">
    <cfRule type="duplicateValues" dxfId="7415" priority="3215"/>
  </conditionalFormatting>
  <conditionalFormatting sqref="AI13">
    <cfRule type="duplicateValues" dxfId="7414" priority="3213" stopIfTrue="1"/>
    <cfRule type="duplicateValues" dxfId="7413" priority="3214"/>
  </conditionalFormatting>
  <conditionalFormatting sqref="AI13">
    <cfRule type="duplicateValues" dxfId="7412" priority="3212"/>
  </conditionalFormatting>
  <conditionalFormatting sqref="AI13">
    <cfRule type="duplicateValues" dxfId="7411" priority="3210" stopIfTrue="1"/>
    <cfRule type="duplicateValues" dxfId="7410" priority="3211"/>
  </conditionalFormatting>
  <conditionalFormatting sqref="AI13">
    <cfRule type="duplicateValues" dxfId="7409" priority="3209"/>
  </conditionalFormatting>
  <conditionalFormatting sqref="AI13">
    <cfRule type="duplicateValues" dxfId="7408" priority="3208"/>
  </conditionalFormatting>
  <conditionalFormatting sqref="AI13">
    <cfRule type="duplicateValues" dxfId="7407" priority="3207"/>
  </conditionalFormatting>
  <conditionalFormatting sqref="AI13">
    <cfRule type="duplicateValues" dxfId="7406" priority="3206"/>
  </conditionalFormatting>
  <conditionalFormatting sqref="AI13">
    <cfRule type="duplicateValues" dxfId="7405" priority="3205"/>
  </conditionalFormatting>
  <conditionalFormatting sqref="AI13">
    <cfRule type="duplicateValues" dxfId="7404" priority="3204"/>
  </conditionalFormatting>
  <conditionalFormatting sqref="AI13">
    <cfRule type="duplicateValues" dxfId="7403" priority="3202" stopIfTrue="1"/>
    <cfRule type="duplicateValues" dxfId="7402" priority="3203"/>
  </conditionalFormatting>
  <conditionalFormatting sqref="AI13">
    <cfRule type="duplicateValues" dxfId="7401" priority="3201"/>
  </conditionalFormatting>
  <conditionalFormatting sqref="AI13">
    <cfRule type="duplicateValues" dxfId="7400" priority="3199" stopIfTrue="1"/>
    <cfRule type="duplicateValues" dxfId="7399" priority="3200"/>
  </conditionalFormatting>
  <conditionalFormatting sqref="AI13">
    <cfRule type="duplicateValues" dxfId="7398" priority="3198"/>
  </conditionalFormatting>
  <conditionalFormatting sqref="AI13">
    <cfRule type="duplicateValues" dxfId="7397" priority="3196" stopIfTrue="1"/>
    <cfRule type="duplicateValues" dxfId="7396" priority="3197"/>
  </conditionalFormatting>
  <conditionalFormatting sqref="AI13">
    <cfRule type="duplicateValues" dxfId="7395" priority="3195"/>
  </conditionalFormatting>
  <conditionalFormatting sqref="AI13">
    <cfRule type="duplicateValues" dxfId="7394" priority="3193" stopIfTrue="1"/>
    <cfRule type="duplicateValues" dxfId="7393" priority="3194"/>
  </conditionalFormatting>
  <conditionalFormatting sqref="AI13">
    <cfRule type="duplicateValues" dxfId="7392" priority="3192"/>
  </conditionalFormatting>
  <conditionalFormatting sqref="AI13">
    <cfRule type="duplicateValues" dxfId="7391" priority="3190" stopIfTrue="1"/>
    <cfRule type="duplicateValues" dxfId="7390" priority="3191"/>
  </conditionalFormatting>
  <conditionalFormatting sqref="AI13">
    <cfRule type="duplicateValues" dxfId="7389" priority="3189"/>
  </conditionalFormatting>
  <conditionalFormatting sqref="AI13">
    <cfRule type="duplicateValues" dxfId="7388" priority="3188"/>
  </conditionalFormatting>
  <conditionalFormatting sqref="AI13">
    <cfRule type="duplicateValues" dxfId="7387" priority="3187"/>
  </conditionalFormatting>
  <conditionalFormatting sqref="AI13">
    <cfRule type="duplicateValues" dxfId="7386" priority="3186"/>
  </conditionalFormatting>
  <conditionalFormatting sqref="AI13">
    <cfRule type="duplicateValues" dxfId="7385" priority="3185"/>
  </conditionalFormatting>
  <conditionalFormatting sqref="AI13">
    <cfRule type="duplicateValues" dxfId="7384" priority="3184"/>
  </conditionalFormatting>
  <conditionalFormatting sqref="AI13">
    <cfRule type="duplicateValues" dxfId="7383" priority="3182" stopIfTrue="1"/>
    <cfRule type="duplicateValues" dxfId="7382" priority="3183"/>
  </conditionalFormatting>
  <conditionalFormatting sqref="AI13">
    <cfRule type="duplicateValues" dxfId="7381" priority="3181"/>
  </conditionalFormatting>
  <conditionalFormatting sqref="AI13">
    <cfRule type="duplicateValues" dxfId="7380" priority="3179" stopIfTrue="1"/>
    <cfRule type="duplicateValues" dxfId="7379" priority="3180"/>
  </conditionalFormatting>
  <conditionalFormatting sqref="AI13">
    <cfRule type="duplicateValues" dxfId="7378" priority="3178"/>
  </conditionalFormatting>
  <conditionalFormatting sqref="AI13">
    <cfRule type="duplicateValues" dxfId="7377" priority="3176" stopIfTrue="1"/>
    <cfRule type="duplicateValues" dxfId="7376" priority="3177"/>
  </conditionalFormatting>
  <conditionalFormatting sqref="AI13">
    <cfRule type="duplicateValues" dxfId="7375" priority="3175"/>
  </conditionalFormatting>
  <conditionalFormatting sqref="AI13">
    <cfRule type="duplicateValues" dxfId="7374" priority="3173" stopIfTrue="1"/>
    <cfRule type="duplicateValues" dxfId="7373" priority="3174"/>
  </conditionalFormatting>
  <conditionalFormatting sqref="AI13">
    <cfRule type="duplicateValues" dxfId="7372" priority="3172"/>
  </conditionalFormatting>
  <conditionalFormatting sqref="AI13">
    <cfRule type="duplicateValues" dxfId="7371" priority="3170" stopIfTrue="1"/>
    <cfRule type="duplicateValues" dxfId="7370" priority="3171"/>
  </conditionalFormatting>
  <conditionalFormatting sqref="AI13">
    <cfRule type="duplicateValues" dxfId="7369" priority="3169"/>
  </conditionalFormatting>
  <conditionalFormatting sqref="AI13">
    <cfRule type="duplicateValues" dxfId="7368" priority="3168"/>
  </conditionalFormatting>
  <conditionalFormatting sqref="AI13">
    <cfRule type="duplicateValues" dxfId="7367" priority="3167"/>
  </conditionalFormatting>
  <conditionalFormatting sqref="AI13">
    <cfRule type="duplicateValues" dxfId="7366" priority="3166"/>
  </conditionalFormatting>
  <conditionalFormatting sqref="AI13">
    <cfRule type="duplicateValues" dxfId="7365" priority="3165"/>
  </conditionalFormatting>
  <conditionalFormatting sqref="AI13">
    <cfRule type="duplicateValues" dxfId="7364" priority="3164"/>
  </conditionalFormatting>
  <conditionalFormatting sqref="AI13">
    <cfRule type="duplicateValues" dxfId="7363" priority="3162" stopIfTrue="1"/>
    <cfRule type="duplicateValues" dxfId="7362" priority="3163"/>
  </conditionalFormatting>
  <conditionalFormatting sqref="AI13">
    <cfRule type="duplicateValues" dxfId="7361" priority="3161"/>
  </conditionalFormatting>
  <conditionalFormatting sqref="AI13">
    <cfRule type="duplicateValues" dxfId="7360" priority="3159" stopIfTrue="1"/>
    <cfRule type="duplicateValues" dxfId="7359" priority="3160"/>
  </conditionalFormatting>
  <conditionalFormatting sqref="AI13">
    <cfRule type="duplicateValues" dxfId="7358" priority="3158"/>
  </conditionalFormatting>
  <conditionalFormatting sqref="AI13">
    <cfRule type="duplicateValues" dxfId="7357" priority="3156" stopIfTrue="1"/>
    <cfRule type="duplicateValues" dxfId="7356" priority="3157"/>
  </conditionalFormatting>
  <conditionalFormatting sqref="AI13">
    <cfRule type="duplicateValues" dxfId="7355" priority="3155"/>
  </conditionalFormatting>
  <conditionalFormatting sqref="AI13">
    <cfRule type="duplicateValues" dxfId="7354" priority="3153" stopIfTrue="1"/>
    <cfRule type="duplicateValues" dxfId="7353" priority="3154"/>
  </conditionalFormatting>
  <conditionalFormatting sqref="AI13">
    <cfRule type="duplicateValues" dxfId="7352" priority="3152"/>
  </conditionalFormatting>
  <conditionalFormatting sqref="AI13">
    <cfRule type="duplicateValues" dxfId="7351" priority="3150" stopIfTrue="1"/>
    <cfRule type="duplicateValues" dxfId="7350" priority="3151"/>
  </conditionalFormatting>
  <conditionalFormatting sqref="AI13">
    <cfRule type="duplicateValues" dxfId="7349" priority="3149"/>
  </conditionalFormatting>
  <conditionalFormatting sqref="AI13">
    <cfRule type="duplicateValues" dxfId="7348" priority="3148"/>
  </conditionalFormatting>
  <conditionalFormatting sqref="AI13">
    <cfRule type="duplicateValues" dxfId="7347" priority="3147"/>
  </conditionalFormatting>
  <conditionalFormatting sqref="AI13">
    <cfRule type="duplicateValues" dxfId="7346" priority="3146"/>
  </conditionalFormatting>
  <conditionalFormatting sqref="AI13">
    <cfRule type="duplicateValues" dxfId="7345" priority="3145"/>
  </conditionalFormatting>
  <conditionalFormatting sqref="AI13">
    <cfRule type="duplicateValues" dxfId="7344" priority="3144"/>
  </conditionalFormatting>
  <conditionalFormatting sqref="AI13">
    <cfRule type="duplicateValues" dxfId="7343" priority="3143"/>
  </conditionalFormatting>
  <conditionalFormatting sqref="AI13">
    <cfRule type="duplicateValues" dxfId="7342" priority="3142"/>
  </conditionalFormatting>
  <conditionalFormatting sqref="AI13">
    <cfRule type="duplicateValues" dxfId="7341" priority="3141"/>
  </conditionalFormatting>
  <conditionalFormatting sqref="AI13">
    <cfRule type="duplicateValues" dxfId="7340" priority="3140"/>
  </conditionalFormatting>
  <conditionalFormatting sqref="AI13">
    <cfRule type="duplicateValues" dxfId="7339" priority="3139"/>
  </conditionalFormatting>
  <conditionalFormatting sqref="AI13">
    <cfRule type="duplicateValues" dxfId="7338" priority="3138"/>
  </conditionalFormatting>
  <conditionalFormatting sqref="AI13">
    <cfRule type="duplicateValues" dxfId="7337" priority="3137"/>
  </conditionalFormatting>
  <conditionalFormatting sqref="AI13">
    <cfRule type="duplicateValues" dxfId="7336" priority="3136"/>
  </conditionalFormatting>
  <conditionalFormatting sqref="AI13">
    <cfRule type="duplicateValues" dxfId="7335" priority="3135"/>
  </conditionalFormatting>
  <conditionalFormatting sqref="AI13">
    <cfRule type="duplicateValues" dxfId="7334" priority="3134"/>
  </conditionalFormatting>
  <conditionalFormatting sqref="AI13">
    <cfRule type="duplicateValues" dxfId="7333" priority="3133"/>
  </conditionalFormatting>
  <conditionalFormatting sqref="AI13">
    <cfRule type="duplicateValues" dxfId="7332" priority="3132"/>
  </conditionalFormatting>
  <conditionalFormatting sqref="AI13">
    <cfRule type="duplicateValues" dxfId="7331" priority="3131"/>
  </conditionalFormatting>
  <conditionalFormatting sqref="AI13">
    <cfRule type="duplicateValues" dxfId="7330" priority="3130"/>
  </conditionalFormatting>
  <conditionalFormatting sqref="AI13">
    <cfRule type="duplicateValues" dxfId="7329" priority="3129"/>
  </conditionalFormatting>
  <conditionalFormatting sqref="AI13">
    <cfRule type="duplicateValues" dxfId="7328" priority="3128"/>
  </conditionalFormatting>
  <conditionalFormatting sqref="AI13">
    <cfRule type="duplicateValues" dxfId="7327" priority="3127"/>
  </conditionalFormatting>
  <conditionalFormatting sqref="AI13">
    <cfRule type="duplicateValues" dxfId="7326" priority="3126"/>
  </conditionalFormatting>
  <conditionalFormatting sqref="AI13">
    <cfRule type="duplicateValues" dxfId="7325" priority="3125"/>
  </conditionalFormatting>
  <conditionalFormatting sqref="AI13">
    <cfRule type="duplicateValues" dxfId="7324" priority="3124"/>
  </conditionalFormatting>
  <conditionalFormatting sqref="AI13">
    <cfRule type="duplicateValues" dxfId="7323" priority="3123"/>
  </conditionalFormatting>
  <conditionalFormatting sqref="AI13">
    <cfRule type="duplicateValues" dxfId="7322" priority="3122"/>
  </conditionalFormatting>
  <conditionalFormatting sqref="AI13">
    <cfRule type="duplicateValues" dxfId="7321" priority="3121"/>
  </conditionalFormatting>
  <conditionalFormatting sqref="AI13">
    <cfRule type="duplicateValues" dxfId="7320" priority="3120"/>
  </conditionalFormatting>
  <conditionalFormatting sqref="AI13">
    <cfRule type="duplicateValues" dxfId="7319" priority="3119"/>
  </conditionalFormatting>
  <conditionalFormatting sqref="AI13">
    <cfRule type="duplicateValues" dxfId="7318" priority="3118"/>
  </conditionalFormatting>
  <conditionalFormatting sqref="AI13">
    <cfRule type="duplicateValues" dxfId="7317" priority="3117"/>
  </conditionalFormatting>
  <conditionalFormatting sqref="AI13">
    <cfRule type="duplicateValues" dxfId="7316" priority="3116"/>
  </conditionalFormatting>
  <conditionalFormatting sqref="AI13">
    <cfRule type="duplicateValues" dxfId="7315" priority="3115"/>
  </conditionalFormatting>
  <conditionalFormatting sqref="AI13">
    <cfRule type="duplicateValues" dxfId="7314" priority="3114"/>
  </conditionalFormatting>
  <conditionalFormatting sqref="AI13">
    <cfRule type="duplicateValues" dxfId="7313" priority="3113"/>
  </conditionalFormatting>
  <conditionalFormatting sqref="AI13">
    <cfRule type="duplicateValues" dxfId="7312" priority="3112"/>
  </conditionalFormatting>
  <conditionalFormatting sqref="AI13">
    <cfRule type="duplicateValues" dxfId="7311" priority="3111"/>
  </conditionalFormatting>
  <conditionalFormatting sqref="AI13">
    <cfRule type="duplicateValues" dxfId="7310" priority="3110"/>
  </conditionalFormatting>
  <conditionalFormatting sqref="AI13">
    <cfRule type="duplicateValues" dxfId="7309" priority="3108" stopIfTrue="1"/>
    <cfRule type="duplicateValues" dxfId="7308" priority="3109"/>
  </conditionalFormatting>
  <conditionalFormatting sqref="AI13">
    <cfRule type="duplicateValues" dxfId="7307" priority="3107"/>
  </conditionalFormatting>
  <conditionalFormatting sqref="AI13">
    <cfRule type="duplicateValues" dxfId="7306" priority="3106"/>
  </conditionalFormatting>
  <conditionalFormatting sqref="AI13">
    <cfRule type="duplicateValues" dxfId="7305" priority="3105"/>
  </conditionalFormatting>
  <conditionalFormatting sqref="AI13">
    <cfRule type="duplicateValues" dxfId="7304" priority="3104"/>
  </conditionalFormatting>
  <conditionalFormatting sqref="AI13">
    <cfRule type="duplicateValues" dxfId="7303" priority="3103"/>
  </conditionalFormatting>
  <conditionalFormatting sqref="AI13">
    <cfRule type="duplicateValues" dxfId="7302" priority="3102"/>
  </conditionalFormatting>
  <conditionalFormatting sqref="AI13">
    <cfRule type="duplicateValues" dxfId="7301" priority="3101"/>
  </conditionalFormatting>
  <conditionalFormatting sqref="AI13">
    <cfRule type="duplicateValues" dxfId="7300" priority="3100"/>
  </conditionalFormatting>
  <conditionalFormatting sqref="AI13">
    <cfRule type="duplicateValues" dxfId="7299" priority="3099"/>
  </conditionalFormatting>
  <conditionalFormatting sqref="AI13">
    <cfRule type="duplicateValues" dxfId="7298" priority="3098"/>
  </conditionalFormatting>
  <conditionalFormatting sqref="AI13">
    <cfRule type="duplicateValues" dxfId="7297" priority="3097"/>
  </conditionalFormatting>
  <conditionalFormatting sqref="AI13">
    <cfRule type="duplicateValues" dxfId="7296" priority="3095" stopIfTrue="1"/>
    <cfRule type="duplicateValues" dxfId="7295" priority="3096"/>
  </conditionalFormatting>
  <conditionalFormatting sqref="AI13">
    <cfRule type="duplicateValues" dxfId="7294" priority="3094"/>
  </conditionalFormatting>
  <conditionalFormatting sqref="AI13">
    <cfRule type="duplicateValues" dxfId="7293" priority="3092" stopIfTrue="1"/>
    <cfRule type="duplicateValues" dxfId="7292" priority="3093"/>
  </conditionalFormatting>
  <conditionalFormatting sqref="AI13">
    <cfRule type="duplicateValues" dxfId="7291" priority="3091"/>
  </conditionalFormatting>
  <conditionalFormatting sqref="AI13">
    <cfRule type="duplicateValues" dxfId="7290" priority="3089" stopIfTrue="1"/>
    <cfRule type="duplicateValues" dxfId="7289" priority="3090"/>
  </conditionalFormatting>
  <conditionalFormatting sqref="AI13">
    <cfRule type="duplicateValues" dxfId="7288" priority="3088"/>
  </conditionalFormatting>
  <conditionalFormatting sqref="AI13">
    <cfRule type="duplicateValues" dxfId="7287" priority="3086" stopIfTrue="1"/>
    <cfRule type="duplicateValues" dxfId="7286" priority="3087"/>
  </conditionalFormatting>
  <conditionalFormatting sqref="AI13">
    <cfRule type="duplicateValues" dxfId="7285" priority="3085"/>
  </conditionalFormatting>
  <conditionalFormatting sqref="AI13">
    <cfRule type="duplicateValues" dxfId="7284" priority="3083" stopIfTrue="1"/>
    <cfRule type="duplicateValues" dxfId="7283" priority="3084"/>
  </conditionalFormatting>
  <conditionalFormatting sqref="AI13">
    <cfRule type="duplicateValues" dxfId="7282" priority="3082"/>
  </conditionalFormatting>
  <conditionalFormatting sqref="AI13">
    <cfRule type="duplicateValues" dxfId="7281" priority="3081"/>
  </conditionalFormatting>
  <conditionalFormatting sqref="AI13">
    <cfRule type="duplicateValues" dxfId="7280" priority="3080"/>
  </conditionalFormatting>
  <conditionalFormatting sqref="AI13">
    <cfRule type="duplicateValues" dxfId="7279" priority="3079"/>
  </conditionalFormatting>
  <conditionalFormatting sqref="AI13">
    <cfRule type="duplicateValues" dxfId="7278" priority="3078"/>
  </conditionalFormatting>
  <conditionalFormatting sqref="AI13">
    <cfRule type="duplicateValues" dxfId="7277" priority="3077"/>
  </conditionalFormatting>
  <conditionalFormatting sqref="AI13">
    <cfRule type="duplicateValues" dxfId="7276" priority="3075" stopIfTrue="1"/>
    <cfRule type="duplicateValues" dxfId="7275" priority="3076"/>
  </conditionalFormatting>
  <conditionalFormatting sqref="AI13">
    <cfRule type="duplicateValues" dxfId="7274" priority="3074"/>
  </conditionalFormatting>
  <conditionalFormatting sqref="AI13">
    <cfRule type="duplicateValues" dxfId="7273" priority="3072" stopIfTrue="1"/>
    <cfRule type="duplicateValues" dxfId="7272" priority="3073"/>
  </conditionalFormatting>
  <conditionalFormatting sqref="AI13">
    <cfRule type="duplicateValues" dxfId="7271" priority="3071"/>
  </conditionalFormatting>
  <conditionalFormatting sqref="AI13">
    <cfRule type="duplicateValues" dxfId="7270" priority="3069" stopIfTrue="1"/>
    <cfRule type="duplicateValues" dxfId="7269" priority="3070"/>
  </conditionalFormatting>
  <conditionalFormatting sqref="AI13">
    <cfRule type="duplicateValues" dxfId="7268" priority="3068"/>
  </conditionalFormatting>
  <conditionalFormatting sqref="AI13">
    <cfRule type="duplicateValues" dxfId="7267" priority="3066" stopIfTrue="1"/>
    <cfRule type="duplicateValues" dxfId="7266" priority="3067"/>
  </conditionalFormatting>
  <conditionalFormatting sqref="AI13">
    <cfRule type="duplicateValues" dxfId="7265" priority="3065"/>
  </conditionalFormatting>
  <conditionalFormatting sqref="AI13">
    <cfRule type="duplicateValues" dxfId="7264" priority="3063" stopIfTrue="1"/>
    <cfRule type="duplicateValues" dxfId="7263" priority="3064"/>
  </conditionalFormatting>
  <conditionalFormatting sqref="AI13">
    <cfRule type="duplicateValues" dxfId="7262" priority="3062"/>
  </conditionalFormatting>
  <conditionalFormatting sqref="AI13">
    <cfRule type="duplicateValues" dxfId="7261" priority="3061"/>
  </conditionalFormatting>
  <conditionalFormatting sqref="AI13">
    <cfRule type="duplicateValues" dxfId="7260" priority="3060"/>
  </conditionalFormatting>
  <conditionalFormatting sqref="AI13">
    <cfRule type="duplicateValues" dxfId="7259" priority="3059"/>
  </conditionalFormatting>
  <conditionalFormatting sqref="AI13">
    <cfRule type="duplicateValues" dxfId="7258" priority="3058"/>
  </conditionalFormatting>
  <conditionalFormatting sqref="AI13">
    <cfRule type="duplicateValues" dxfId="7257" priority="3057"/>
  </conditionalFormatting>
  <conditionalFormatting sqref="AI13">
    <cfRule type="duplicateValues" dxfId="7256" priority="3055" stopIfTrue="1"/>
    <cfRule type="duplicateValues" dxfId="7255" priority="3056"/>
  </conditionalFormatting>
  <conditionalFormatting sqref="AI13">
    <cfRule type="duplicateValues" dxfId="7254" priority="3054"/>
  </conditionalFormatting>
  <conditionalFormatting sqref="AI13">
    <cfRule type="duplicateValues" dxfId="7253" priority="3052" stopIfTrue="1"/>
    <cfRule type="duplicateValues" dxfId="7252" priority="3053"/>
  </conditionalFormatting>
  <conditionalFormatting sqref="AI13">
    <cfRule type="duplicateValues" dxfId="7251" priority="3051"/>
  </conditionalFormatting>
  <conditionalFormatting sqref="AI13">
    <cfRule type="duplicateValues" dxfId="7250" priority="3049" stopIfTrue="1"/>
    <cfRule type="duplicateValues" dxfId="7249" priority="3050"/>
  </conditionalFormatting>
  <conditionalFormatting sqref="AI13">
    <cfRule type="duplicateValues" dxfId="7248" priority="3048"/>
  </conditionalFormatting>
  <conditionalFormatting sqref="AI13">
    <cfRule type="duplicateValues" dxfId="7247" priority="3046" stopIfTrue="1"/>
    <cfRule type="duplicateValues" dxfId="7246" priority="3047"/>
  </conditionalFormatting>
  <conditionalFormatting sqref="AI13">
    <cfRule type="duplicateValues" dxfId="7245" priority="3045"/>
  </conditionalFormatting>
  <conditionalFormatting sqref="AI13">
    <cfRule type="duplicateValues" dxfId="7244" priority="3043" stopIfTrue="1"/>
    <cfRule type="duplicateValues" dxfId="7243" priority="3044"/>
  </conditionalFormatting>
  <conditionalFormatting sqref="AI13">
    <cfRule type="duplicateValues" dxfId="7242" priority="3042"/>
  </conditionalFormatting>
  <conditionalFormatting sqref="AI13">
    <cfRule type="duplicateValues" dxfId="7241" priority="3041"/>
  </conditionalFormatting>
  <conditionalFormatting sqref="AI13">
    <cfRule type="duplicateValues" dxfId="7240" priority="3040"/>
  </conditionalFormatting>
  <conditionalFormatting sqref="AI13">
    <cfRule type="duplicateValues" dxfId="7239" priority="3039"/>
  </conditionalFormatting>
  <conditionalFormatting sqref="AI13">
    <cfRule type="duplicateValues" dxfId="7238" priority="3038"/>
  </conditionalFormatting>
  <conditionalFormatting sqref="AI13">
    <cfRule type="duplicateValues" dxfId="7237" priority="3037"/>
  </conditionalFormatting>
  <conditionalFormatting sqref="AI13">
    <cfRule type="duplicateValues" dxfId="7236" priority="3035" stopIfTrue="1"/>
    <cfRule type="duplicateValues" dxfId="7235" priority="3036"/>
  </conditionalFormatting>
  <conditionalFormatting sqref="AI13">
    <cfRule type="duplicateValues" dxfId="7234" priority="3034"/>
  </conditionalFormatting>
  <conditionalFormatting sqref="AI13">
    <cfRule type="duplicateValues" dxfId="7233" priority="3032" stopIfTrue="1"/>
    <cfRule type="duplicateValues" dxfId="7232" priority="3033"/>
  </conditionalFormatting>
  <conditionalFormatting sqref="AI13">
    <cfRule type="duplicateValues" dxfId="7231" priority="3031"/>
  </conditionalFormatting>
  <conditionalFormatting sqref="AI13">
    <cfRule type="duplicateValues" dxfId="7230" priority="3029" stopIfTrue="1"/>
    <cfRule type="duplicateValues" dxfId="7229" priority="3030"/>
  </conditionalFormatting>
  <conditionalFormatting sqref="AI13">
    <cfRule type="duplicateValues" dxfId="7228" priority="3028"/>
  </conditionalFormatting>
  <conditionalFormatting sqref="AI13">
    <cfRule type="duplicateValues" dxfId="7227" priority="3026" stopIfTrue="1"/>
    <cfRule type="duplicateValues" dxfId="7226" priority="3027"/>
  </conditionalFormatting>
  <conditionalFormatting sqref="AI13">
    <cfRule type="duplicateValues" dxfId="7225" priority="3025"/>
  </conditionalFormatting>
  <conditionalFormatting sqref="AI13">
    <cfRule type="duplicateValues" dxfId="7224" priority="3023" stopIfTrue="1"/>
    <cfRule type="duplicateValues" dxfId="7223" priority="3024"/>
  </conditionalFormatting>
  <conditionalFormatting sqref="AI13">
    <cfRule type="duplicateValues" dxfId="7222" priority="3022"/>
  </conditionalFormatting>
  <conditionalFormatting sqref="AI13">
    <cfRule type="duplicateValues" dxfId="7221" priority="3021"/>
  </conditionalFormatting>
  <conditionalFormatting sqref="AI13">
    <cfRule type="duplicateValues" dxfId="7220" priority="3020"/>
  </conditionalFormatting>
  <conditionalFormatting sqref="AI13">
    <cfRule type="duplicateValues" dxfId="7219" priority="3019"/>
  </conditionalFormatting>
  <conditionalFormatting sqref="AI13">
    <cfRule type="duplicateValues" dxfId="7218" priority="3018"/>
  </conditionalFormatting>
  <conditionalFormatting sqref="AI13">
    <cfRule type="duplicateValues" dxfId="7217" priority="3017"/>
  </conditionalFormatting>
  <conditionalFormatting sqref="AI13">
    <cfRule type="duplicateValues" dxfId="7216" priority="3016"/>
  </conditionalFormatting>
  <conditionalFormatting sqref="AI13">
    <cfRule type="duplicateValues" dxfId="7215" priority="3015"/>
  </conditionalFormatting>
  <conditionalFormatting sqref="AI13">
    <cfRule type="duplicateValues" dxfId="7214" priority="3014"/>
  </conditionalFormatting>
  <conditionalFormatting sqref="AI13">
    <cfRule type="duplicateValues" dxfId="7213" priority="3013"/>
  </conditionalFormatting>
  <conditionalFormatting sqref="AI13">
    <cfRule type="duplicateValues" dxfId="7212" priority="3012"/>
  </conditionalFormatting>
  <conditionalFormatting sqref="AI13">
    <cfRule type="duplicateValues" dxfId="7211" priority="3011"/>
  </conditionalFormatting>
  <conditionalFormatting sqref="AI13">
    <cfRule type="duplicateValues" dxfId="7210" priority="3010"/>
  </conditionalFormatting>
  <conditionalFormatting sqref="AI13">
    <cfRule type="duplicateValues" dxfId="7209" priority="3009"/>
  </conditionalFormatting>
  <conditionalFormatting sqref="AI13">
    <cfRule type="duplicateValues" dxfId="7208" priority="3008"/>
  </conditionalFormatting>
  <conditionalFormatting sqref="AI13">
    <cfRule type="duplicateValues" dxfId="7207" priority="3007"/>
  </conditionalFormatting>
  <conditionalFormatting sqref="AI13">
    <cfRule type="duplicateValues" dxfId="7206" priority="3006"/>
  </conditionalFormatting>
  <conditionalFormatting sqref="AI13">
    <cfRule type="duplicateValues" dxfId="7205" priority="3005"/>
  </conditionalFormatting>
  <conditionalFormatting sqref="AI13">
    <cfRule type="duplicateValues" dxfId="7204" priority="3004"/>
  </conditionalFormatting>
  <conditionalFormatting sqref="AI13">
    <cfRule type="duplicateValues" dxfId="7203" priority="3003"/>
  </conditionalFormatting>
  <conditionalFormatting sqref="AI13">
    <cfRule type="duplicateValues" dxfId="7202" priority="3002"/>
  </conditionalFormatting>
  <conditionalFormatting sqref="AI13">
    <cfRule type="duplicateValues" dxfId="7201" priority="3001"/>
  </conditionalFormatting>
  <conditionalFormatting sqref="AI13">
    <cfRule type="duplicateValues" dxfId="7200" priority="3000"/>
  </conditionalFormatting>
  <conditionalFormatting sqref="AI13">
    <cfRule type="duplicateValues" dxfId="7199" priority="2999"/>
  </conditionalFormatting>
  <conditionalFormatting sqref="AI13">
    <cfRule type="duplicateValues" dxfId="7198" priority="2998"/>
  </conditionalFormatting>
  <conditionalFormatting sqref="AI13">
    <cfRule type="duplicateValues" dxfId="7197" priority="2997"/>
  </conditionalFormatting>
  <conditionalFormatting sqref="AI13">
    <cfRule type="duplicateValues" dxfId="7196" priority="2996"/>
  </conditionalFormatting>
  <conditionalFormatting sqref="AI13">
    <cfRule type="duplicateValues" dxfId="7195" priority="2995"/>
  </conditionalFormatting>
  <conditionalFormatting sqref="AI13">
    <cfRule type="duplicateValues" dxfId="7194" priority="2994"/>
  </conditionalFormatting>
  <conditionalFormatting sqref="AI13">
    <cfRule type="duplicateValues" dxfId="7193" priority="2993"/>
  </conditionalFormatting>
  <conditionalFormatting sqref="AI13">
    <cfRule type="duplicateValues" dxfId="7192" priority="2992"/>
  </conditionalFormatting>
  <conditionalFormatting sqref="AI13">
    <cfRule type="duplicateValues" dxfId="7191" priority="2991"/>
  </conditionalFormatting>
  <conditionalFormatting sqref="AI13">
    <cfRule type="duplicateValues" dxfId="7190" priority="2990"/>
  </conditionalFormatting>
  <conditionalFormatting sqref="AI13">
    <cfRule type="duplicateValues" dxfId="7189" priority="2989"/>
  </conditionalFormatting>
  <conditionalFormatting sqref="AI13">
    <cfRule type="duplicateValues" dxfId="7188" priority="2988"/>
  </conditionalFormatting>
  <conditionalFormatting sqref="AI13">
    <cfRule type="duplicateValues" dxfId="7187" priority="2987"/>
  </conditionalFormatting>
  <conditionalFormatting sqref="AI13">
    <cfRule type="duplicateValues" dxfId="7186" priority="2986"/>
  </conditionalFormatting>
  <conditionalFormatting sqref="AI13">
    <cfRule type="duplicateValues" dxfId="7185" priority="2985"/>
  </conditionalFormatting>
  <conditionalFormatting sqref="AI13">
    <cfRule type="duplicateValues" dxfId="7184" priority="2984"/>
  </conditionalFormatting>
  <conditionalFormatting sqref="AI13">
    <cfRule type="duplicateValues" dxfId="7183" priority="2983"/>
  </conditionalFormatting>
  <conditionalFormatting sqref="AI13">
    <cfRule type="duplicateValues" dxfId="7182" priority="2981" stopIfTrue="1"/>
    <cfRule type="duplicateValues" dxfId="7181" priority="2982"/>
  </conditionalFormatting>
  <conditionalFormatting sqref="AI13">
    <cfRule type="duplicateValues" dxfId="7180" priority="2980"/>
  </conditionalFormatting>
  <conditionalFormatting sqref="AI13">
    <cfRule type="duplicateValues" dxfId="7179" priority="2979"/>
  </conditionalFormatting>
  <conditionalFormatting sqref="AI13">
    <cfRule type="duplicateValues" dxfId="7178" priority="2978"/>
  </conditionalFormatting>
  <conditionalFormatting sqref="AI13">
    <cfRule type="duplicateValues" dxfId="7177" priority="2977"/>
  </conditionalFormatting>
  <conditionalFormatting sqref="AI13">
    <cfRule type="duplicateValues" dxfId="7176" priority="2975" stopIfTrue="1"/>
    <cfRule type="duplicateValues" dxfId="7175" priority="2976"/>
  </conditionalFormatting>
  <conditionalFormatting sqref="AI13">
    <cfRule type="duplicateValues" dxfId="7174" priority="2974"/>
  </conditionalFormatting>
  <conditionalFormatting sqref="AI13">
    <cfRule type="duplicateValues" dxfId="7173" priority="2972" stopIfTrue="1"/>
    <cfRule type="duplicateValues" dxfId="7172" priority="2973"/>
  </conditionalFormatting>
  <conditionalFormatting sqref="AI13">
    <cfRule type="duplicateValues" dxfId="7171" priority="2971"/>
  </conditionalFormatting>
  <conditionalFormatting sqref="AI13">
    <cfRule type="duplicateValues" dxfId="7170" priority="2969" stopIfTrue="1"/>
    <cfRule type="duplicateValues" dxfId="7169" priority="2970"/>
  </conditionalFormatting>
  <conditionalFormatting sqref="AI13">
    <cfRule type="duplicateValues" dxfId="7168" priority="2968"/>
  </conditionalFormatting>
  <conditionalFormatting sqref="AI13">
    <cfRule type="duplicateValues" dxfId="7167" priority="2966" stopIfTrue="1"/>
    <cfRule type="duplicateValues" dxfId="7166" priority="2967"/>
  </conditionalFormatting>
  <conditionalFormatting sqref="AI13">
    <cfRule type="duplicateValues" dxfId="7165" priority="2965"/>
  </conditionalFormatting>
  <conditionalFormatting sqref="AI13">
    <cfRule type="duplicateValues" dxfId="7164" priority="2963" stopIfTrue="1"/>
    <cfRule type="duplicateValues" dxfId="7163" priority="2964"/>
  </conditionalFormatting>
  <conditionalFormatting sqref="AI13">
    <cfRule type="duplicateValues" dxfId="7162" priority="2962"/>
  </conditionalFormatting>
  <conditionalFormatting sqref="AI13">
    <cfRule type="duplicateValues" dxfId="7161" priority="2961"/>
  </conditionalFormatting>
  <conditionalFormatting sqref="AI13">
    <cfRule type="duplicateValues" dxfId="7160" priority="2960"/>
  </conditionalFormatting>
  <conditionalFormatting sqref="AI13">
    <cfRule type="duplicateValues" dxfId="7159" priority="2959"/>
  </conditionalFormatting>
  <conditionalFormatting sqref="AI13">
    <cfRule type="duplicateValues" dxfId="7158" priority="2958"/>
  </conditionalFormatting>
  <conditionalFormatting sqref="AI13">
    <cfRule type="duplicateValues" dxfId="7157" priority="2957"/>
  </conditionalFormatting>
  <conditionalFormatting sqref="AI13">
    <cfRule type="duplicateValues" dxfId="7156" priority="2955" stopIfTrue="1"/>
    <cfRule type="duplicateValues" dxfId="7155" priority="2956"/>
  </conditionalFormatting>
  <conditionalFormatting sqref="AI13">
    <cfRule type="duplicateValues" dxfId="7154" priority="2954"/>
  </conditionalFormatting>
  <conditionalFormatting sqref="AI13">
    <cfRule type="duplicateValues" dxfId="7153" priority="2952" stopIfTrue="1"/>
    <cfRule type="duplicateValues" dxfId="7152" priority="2953"/>
  </conditionalFormatting>
  <conditionalFormatting sqref="AI13">
    <cfRule type="duplicateValues" dxfId="7151" priority="2951"/>
  </conditionalFormatting>
  <conditionalFormatting sqref="AI13">
    <cfRule type="duplicateValues" dxfId="7150" priority="2949" stopIfTrue="1"/>
    <cfRule type="duplicateValues" dxfId="7149" priority="2950"/>
  </conditionalFormatting>
  <conditionalFormatting sqref="AI13">
    <cfRule type="duplicateValues" dxfId="7148" priority="2948"/>
  </conditionalFormatting>
  <conditionalFormatting sqref="AI13">
    <cfRule type="duplicateValues" dxfId="7147" priority="2946" stopIfTrue="1"/>
    <cfRule type="duplicateValues" dxfId="7146" priority="2947"/>
  </conditionalFormatting>
  <conditionalFormatting sqref="AI13">
    <cfRule type="duplicateValues" dxfId="7145" priority="2945"/>
  </conditionalFormatting>
  <conditionalFormatting sqref="AI13">
    <cfRule type="duplicateValues" dxfId="7144" priority="2943" stopIfTrue="1"/>
    <cfRule type="duplicateValues" dxfId="7143" priority="2944"/>
  </conditionalFormatting>
  <conditionalFormatting sqref="AI13">
    <cfRule type="duplicateValues" dxfId="7142" priority="2942"/>
  </conditionalFormatting>
  <conditionalFormatting sqref="AI13">
    <cfRule type="duplicateValues" dxfId="7141" priority="2941"/>
  </conditionalFormatting>
  <conditionalFormatting sqref="AI13">
    <cfRule type="duplicateValues" dxfId="7140" priority="2940"/>
  </conditionalFormatting>
  <conditionalFormatting sqref="AI13">
    <cfRule type="duplicateValues" dxfId="7139" priority="2939"/>
  </conditionalFormatting>
  <conditionalFormatting sqref="AI13">
    <cfRule type="duplicateValues" dxfId="7138" priority="2938"/>
  </conditionalFormatting>
  <conditionalFormatting sqref="AI13">
    <cfRule type="duplicateValues" dxfId="7137" priority="2937"/>
  </conditionalFormatting>
  <conditionalFormatting sqref="AI13">
    <cfRule type="duplicateValues" dxfId="7136" priority="2935" stopIfTrue="1"/>
    <cfRule type="duplicateValues" dxfId="7135" priority="2936"/>
  </conditionalFormatting>
  <conditionalFormatting sqref="AI13">
    <cfRule type="duplicateValues" dxfId="7134" priority="2934"/>
  </conditionalFormatting>
  <conditionalFormatting sqref="AI13">
    <cfRule type="duplicateValues" dxfId="7133" priority="2932" stopIfTrue="1"/>
    <cfRule type="duplicateValues" dxfId="7132" priority="2933"/>
  </conditionalFormatting>
  <conditionalFormatting sqref="AI13">
    <cfRule type="duplicateValues" dxfId="7131" priority="2931"/>
  </conditionalFormatting>
  <conditionalFormatting sqref="AI13">
    <cfRule type="duplicateValues" dxfId="7130" priority="2929" stopIfTrue="1"/>
    <cfRule type="duplicateValues" dxfId="7129" priority="2930"/>
  </conditionalFormatting>
  <conditionalFormatting sqref="AI13">
    <cfRule type="duplicateValues" dxfId="7128" priority="2928"/>
  </conditionalFormatting>
  <conditionalFormatting sqref="AI13">
    <cfRule type="duplicateValues" dxfId="7127" priority="2926" stopIfTrue="1"/>
    <cfRule type="duplicateValues" dxfId="7126" priority="2927"/>
  </conditionalFormatting>
  <conditionalFormatting sqref="AI13">
    <cfRule type="duplicateValues" dxfId="7125" priority="2925"/>
  </conditionalFormatting>
  <conditionalFormatting sqref="AI13">
    <cfRule type="duplicateValues" dxfId="7124" priority="2923" stopIfTrue="1"/>
    <cfRule type="duplicateValues" dxfId="7123" priority="2924"/>
  </conditionalFormatting>
  <conditionalFormatting sqref="AI13">
    <cfRule type="duplicateValues" dxfId="7122" priority="2922"/>
  </conditionalFormatting>
  <conditionalFormatting sqref="AI13">
    <cfRule type="duplicateValues" dxfId="7121" priority="2921"/>
  </conditionalFormatting>
  <conditionalFormatting sqref="AI13">
    <cfRule type="duplicateValues" dxfId="7120" priority="2920"/>
  </conditionalFormatting>
  <conditionalFormatting sqref="AI13">
    <cfRule type="duplicateValues" dxfId="7119" priority="2919"/>
  </conditionalFormatting>
  <conditionalFormatting sqref="AI13">
    <cfRule type="duplicateValues" dxfId="7118" priority="2918"/>
  </conditionalFormatting>
  <conditionalFormatting sqref="AI13">
    <cfRule type="duplicateValues" dxfId="7117" priority="2917"/>
  </conditionalFormatting>
  <conditionalFormatting sqref="AI13">
    <cfRule type="duplicateValues" dxfId="7116" priority="2916"/>
  </conditionalFormatting>
  <conditionalFormatting sqref="AI13">
    <cfRule type="duplicateValues" dxfId="7115" priority="2915"/>
  </conditionalFormatting>
  <conditionalFormatting sqref="AI13">
    <cfRule type="duplicateValues" dxfId="7114" priority="2914"/>
  </conditionalFormatting>
  <conditionalFormatting sqref="AI13">
    <cfRule type="duplicateValues" dxfId="7113" priority="2913"/>
  </conditionalFormatting>
  <conditionalFormatting sqref="AI13">
    <cfRule type="duplicateValues" dxfId="7112" priority="2912"/>
  </conditionalFormatting>
  <conditionalFormatting sqref="AI13">
    <cfRule type="duplicateValues" dxfId="7111" priority="2911"/>
  </conditionalFormatting>
  <conditionalFormatting sqref="AI13">
    <cfRule type="duplicateValues" dxfId="7110" priority="2910"/>
  </conditionalFormatting>
  <conditionalFormatting sqref="AI13">
    <cfRule type="duplicateValues" dxfId="7109" priority="2909"/>
  </conditionalFormatting>
  <conditionalFormatting sqref="AI13">
    <cfRule type="duplicateValues" dxfId="7108" priority="2908"/>
  </conditionalFormatting>
  <conditionalFormatting sqref="AI13">
    <cfRule type="duplicateValues" dxfId="7107" priority="2907"/>
  </conditionalFormatting>
  <conditionalFormatting sqref="AI13">
    <cfRule type="duplicateValues" dxfId="7106" priority="2906"/>
  </conditionalFormatting>
  <conditionalFormatting sqref="AI13">
    <cfRule type="duplicateValues" dxfId="7105" priority="2905"/>
  </conditionalFormatting>
  <conditionalFormatting sqref="AI13">
    <cfRule type="duplicateValues" dxfId="7104" priority="2904"/>
  </conditionalFormatting>
  <conditionalFormatting sqref="AI13">
    <cfRule type="duplicateValues" dxfId="7103" priority="2903"/>
  </conditionalFormatting>
  <conditionalFormatting sqref="AI13">
    <cfRule type="duplicateValues" dxfId="7102" priority="2902"/>
  </conditionalFormatting>
  <conditionalFormatting sqref="AI13">
    <cfRule type="duplicateValues" dxfId="7101" priority="2901"/>
  </conditionalFormatting>
  <conditionalFormatting sqref="AI13">
    <cfRule type="duplicateValues" dxfId="7100" priority="2900"/>
  </conditionalFormatting>
  <conditionalFormatting sqref="AI13">
    <cfRule type="duplicateValues" dxfId="7099" priority="2899"/>
  </conditionalFormatting>
  <conditionalFormatting sqref="AI13">
    <cfRule type="duplicateValues" dxfId="7098" priority="2898"/>
  </conditionalFormatting>
  <conditionalFormatting sqref="AI13">
    <cfRule type="duplicateValues" dxfId="7097" priority="2897"/>
  </conditionalFormatting>
  <conditionalFormatting sqref="AI13">
    <cfRule type="duplicateValues" dxfId="7096" priority="2896"/>
  </conditionalFormatting>
  <conditionalFormatting sqref="AI13">
    <cfRule type="duplicateValues" dxfId="7095" priority="2895"/>
  </conditionalFormatting>
  <conditionalFormatting sqref="AI13">
    <cfRule type="duplicateValues" dxfId="7094" priority="2894"/>
  </conditionalFormatting>
  <conditionalFormatting sqref="AI13">
    <cfRule type="duplicateValues" dxfId="7093" priority="2893"/>
  </conditionalFormatting>
  <conditionalFormatting sqref="AI13">
    <cfRule type="duplicateValues" dxfId="7092" priority="2892"/>
  </conditionalFormatting>
  <conditionalFormatting sqref="AI13">
    <cfRule type="duplicateValues" dxfId="7091" priority="2891"/>
  </conditionalFormatting>
  <conditionalFormatting sqref="AI13">
    <cfRule type="duplicateValues" dxfId="7090" priority="2890"/>
  </conditionalFormatting>
  <conditionalFormatting sqref="AI13">
    <cfRule type="duplicateValues" dxfId="7089" priority="2889"/>
  </conditionalFormatting>
  <conditionalFormatting sqref="AI13">
    <cfRule type="duplicateValues" dxfId="7088" priority="2888"/>
  </conditionalFormatting>
  <conditionalFormatting sqref="AI13">
    <cfRule type="duplicateValues" dxfId="7087" priority="2887"/>
  </conditionalFormatting>
  <conditionalFormatting sqref="AI13">
    <cfRule type="duplicateValues" dxfId="7086" priority="2886"/>
  </conditionalFormatting>
  <conditionalFormatting sqref="AI13">
    <cfRule type="duplicateValues" dxfId="7085" priority="2885"/>
  </conditionalFormatting>
  <conditionalFormatting sqref="AI13">
    <cfRule type="duplicateValues" dxfId="7084" priority="2884"/>
  </conditionalFormatting>
  <conditionalFormatting sqref="AI13">
    <cfRule type="duplicateValues" dxfId="7083" priority="2883"/>
  </conditionalFormatting>
  <conditionalFormatting sqref="AI13">
    <cfRule type="duplicateValues" dxfId="7082" priority="2881" stopIfTrue="1"/>
    <cfRule type="duplicateValues" dxfId="7081" priority="2882"/>
  </conditionalFormatting>
  <conditionalFormatting sqref="AI13">
    <cfRule type="duplicateValues" dxfId="7080" priority="2880"/>
  </conditionalFormatting>
  <conditionalFormatting sqref="AI13">
    <cfRule type="duplicateValues" dxfId="7079" priority="2879"/>
  </conditionalFormatting>
  <conditionalFormatting sqref="AI13">
    <cfRule type="duplicateValues" dxfId="7078" priority="2878"/>
  </conditionalFormatting>
  <conditionalFormatting sqref="AI13">
    <cfRule type="duplicateValues" dxfId="7077" priority="2877"/>
  </conditionalFormatting>
  <conditionalFormatting sqref="AI13">
    <cfRule type="duplicateValues" dxfId="7076" priority="2875" stopIfTrue="1"/>
    <cfRule type="duplicateValues" dxfId="7075" priority="2876"/>
  </conditionalFormatting>
  <conditionalFormatting sqref="AI13">
    <cfRule type="duplicateValues" dxfId="7074" priority="2874"/>
  </conditionalFormatting>
  <conditionalFormatting sqref="AI13">
    <cfRule type="duplicateValues" dxfId="7073" priority="2872" stopIfTrue="1"/>
    <cfRule type="duplicateValues" dxfId="7072" priority="2873"/>
  </conditionalFormatting>
  <conditionalFormatting sqref="AI13">
    <cfRule type="duplicateValues" dxfId="7071" priority="2871"/>
  </conditionalFormatting>
  <conditionalFormatting sqref="AI13">
    <cfRule type="duplicateValues" dxfId="7070" priority="2869" stopIfTrue="1"/>
    <cfRule type="duplicateValues" dxfId="7069" priority="2870"/>
  </conditionalFormatting>
  <conditionalFormatting sqref="AI13">
    <cfRule type="duplicateValues" dxfId="7068" priority="2868"/>
  </conditionalFormatting>
  <conditionalFormatting sqref="AI13">
    <cfRule type="duplicateValues" dxfId="7067" priority="2866" stopIfTrue="1"/>
    <cfRule type="duplicateValues" dxfId="7066" priority="2867"/>
  </conditionalFormatting>
  <conditionalFormatting sqref="AI13">
    <cfRule type="duplicateValues" dxfId="7065" priority="2865"/>
  </conditionalFormatting>
  <conditionalFormatting sqref="AI13">
    <cfRule type="duplicateValues" dxfId="7064" priority="2863" stopIfTrue="1"/>
    <cfRule type="duplicateValues" dxfId="7063" priority="2864"/>
  </conditionalFormatting>
  <conditionalFormatting sqref="AI13">
    <cfRule type="duplicateValues" dxfId="7062" priority="2862"/>
  </conditionalFormatting>
  <conditionalFormatting sqref="AI13">
    <cfRule type="duplicateValues" dxfId="7061" priority="2861"/>
  </conditionalFormatting>
  <conditionalFormatting sqref="AI13">
    <cfRule type="duplicateValues" dxfId="7060" priority="2860"/>
  </conditionalFormatting>
  <conditionalFormatting sqref="AI13">
    <cfRule type="duplicateValues" dxfId="7059" priority="2859"/>
  </conditionalFormatting>
  <conditionalFormatting sqref="AI13">
    <cfRule type="duplicateValues" dxfId="7058" priority="2858"/>
  </conditionalFormatting>
  <conditionalFormatting sqref="AI13">
    <cfRule type="duplicateValues" dxfId="7057" priority="2857"/>
  </conditionalFormatting>
  <conditionalFormatting sqref="AI13">
    <cfRule type="duplicateValues" dxfId="7056" priority="2855" stopIfTrue="1"/>
    <cfRule type="duplicateValues" dxfId="7055" priority="2856"/>
  </conditionalFormatting>
  <conditionalFormatting sqref="AI13">
    <cfRule type="duplicateValues" dxfId="7054" priority="2854"/>
  </conditionalFormatting>
  <conditionalFormatting sqref="AI13">
    <cfRule type="duplicateValues" dxfId="7053" priority="2852" stopIfTrue="1"/>
    <cfRule type="duplicateValues" dxfId="7052" priority="2853"/>
  </conditionalFormatting>
  <conditionalFormatting sqref="AI13">
    <cfRule type="duplicateValues" dxfId="7051" priority="2851"/>
  </conditionalFormatting>
  <conditionalFormatting sqref="AI13">
    <cfRule type="duplicateValues" dxfId="7050" priority="2849" stopIfTrue="1"/>
    <cfRule type="duplicateValues" dxfId="7049" priority="2850"/>
  </conditionalFormatting>
  <conditionalFormatting sqref="AI13">
    <cfRule type="duplicateValues" dxfId="7048" priority="2848"/>
  </conditionalFormatting>
  <conditionalFormatting sqref="AI13">
    <cfRule type="duplicateValues" dxfId="7047" priority="2846" stopIfTrue="1"/>
    <cfRule type="duplicateValues" dxfId="7046" priority="2847"/>
  </conditionalFormatting>
  <conditionalFormatting sqref="AI13">
    <cfRule type="duplicateValues" dxfId="7045" priority="2845"/>
  </conditionalFormatting>
  <conditionalFormatting sqref="AI13">
    <cfRule type="duplicateValues" dxfId="7044" priority="2843" stopIfTrue="1"/>
    <cfRule type="duplicateValues" dxfId="7043" priority="2844"/>
  </conditionalFormatting>
  <conditionalFormatting sqref="AI13">
    <cfRule type="duplicateValues" dxfId="7042" priority="2842"/>
  </conditionalFormatting>
  <conditionalFormatting sqref="AI13">
    <cfRule type="duplicateValues" dxfId="7041" priority="2841"/>
  </conditionalFormatting>
  <conditionalFormatting sqref="AI13">
    <cfRule type="duplicateValues" dxfId="7040" priority="2840"/>
  </conditionalFormatting>
  <conditionalFormatting sqref="AI13">
    <cfRule type="duplicateValues" dxfId="7039" priority="2839"/>
  </conditionalFormatting>
  <conditionalFormatting sqref="AI13">
    <cfRule type="duplicateValues" dxfId="7038" priority="2838"/>
  </conditionalFormatting>
  <conditionalFormatting sqref="AI13">
    <cfRule type="duplicateValues" dxfId="7037" priority="2837"/>
  </conditionalFormatting>
  <conditionalFormatting sqref="AI13">
    <cfRule type="duplicateValues" dxfId="7036" priority="2836"/>
  </conditionalFormatting>
  <conditionalFormatting sqref="AI13">
    <cfRule type="duplicateValues" dxfId="7035" priority="2835"/>
  </conditionalFormatting>
  <conditionalFormatting sqref="AI13">
    <cfRule type="duplicateValues" dxfId="7034" priority="2834"/>
  </conditionalFormatting>
  <conditionalFormatting sqref="AI13">
    <cfRule type="duplicateValues" dxfId="7033" priority="2833"/>
  </conditionalFormatting>
  <conditionalFormatting sqref="AI13">
    <cfRule type="duplicateValues" dxfId="7032" priority="2832"/>
  </conditionalFormatting>
  <conditionalFormatting sqref="AI13">
    <cfRule type="duplicateValues" dxfId="7031" priority="2831"/>
  </conditionalFormatting>
  <conditionalFormatting sqref="AI13">
    <cfRule type="duplicateValues" dxfId="7030" priority="2830"/>
  </conditionalFormatting>
  <conditionalFormatting sqref="AI13">
    <cfRule type="duplicateValues" dxfId="7029" priority="2829"/>
  </conditionalFormatting>
  <conditionalFormatting sqref="AI13">
    <cfRule type="duplicateValues" dxfId="7028" priority="2828"/>
  </conditionalFormatting>
  <conditionalFormatting sqref="AI13">
    <cfRule type="duplicateValues" dxfId="7027" priority="2827"/>
  </conditionalFormatting>
  <conditionalFormatting sqref="AI13">
    <cfRule type="duplicateValues" dxfId="7026" priority="2826"/>
  </conditionalFormatting>
  <conditionalFormatting sqref="AI13">
    <cfRule type="duplicateValues" dxfId="7025" priority="2825"/>
  </conditionalFormatting>
  <conditionalFormatting sqref="AI13">
    <cfRule type="duplicateValues" dxfId="7024" priority="2824"/>
  </conditionalFormatting>
  <conditionalFormatting sqref="AI13">
    <cfRule type="duplicateValues" dxfId="7023" priority="2823"/>
  </conditionalFormatting>
  <conditionalFormatting sqref="AI13">
    <cfRule type="duplicateValues" dxfId="7022" priority="2822"/>
  </conditionalFormatting>
  <conditionalFormatting sqref="AI13">
    <cfRule type="duplicateValues" dxfId="7021" priority="2821"/>
  </conditionalFormatting>
  <conditionalFormatting sqref="AI13">
    <cfRule type="duplicateValues" dxfId="7020" priority="2820"/>
  </conditionalFormatting>
  <conditionalFormatting sqref="AI13">
    <cfRule type="duplicateValues" dxfId="7019" priority="2819"/>
  </conditionalFormatting>
  <conditionalFormatting sqref="AI13">
    <cfRule type="duplicateValues" dxfId="7018" priority="2818"/>
  </conditionalFormatting>
  <conditionalFormatting sqref="AI13">
    <cfRule type="duplicateValues" dxfId="7017" priority="2817"/>
  </conditionalFormatting>
  <conditionalFormatting sqref="AI13">
    <cfRule type="duplicateValues" dxfId="7016" priority="2816"/>
  </conditionalFormatting>
  <conditionalFormatting sqref="AI13">
    <cfRule type="duplicateValues" dxfId="7015" priority="2815"/>
  </conditionalFormatting>
  <conditionalFormatting sqref="AI13">
    <cfRule type="duplicateValues" dxfId="7014" priority="2814"/>
  </conditionalFormatting>
  <conditionalFormatting sqref="AI13">
    <cfRule type="duplicateValues" dxfId="7013" priority="2813"/>
  </conditionalFormatting>
  <conditionalFormatting sqref="AI13">
    <cfRule type="duplicateValues" dxfId="7012" priority="2812"/>
  </conditionalFormatting>
  <conditionalFormatting sqref="AI13">
    <cfRule type="duplicateValues" dxfId="7011" priority="2811"/>
  </conditionalFormatting>
  <conditionalFormatting sqref="AI13">
    <cfRule type="duplicateValues" dxfId="7010" priority="2810"/>
  </conditionalFormatting>
  <conditionalFormatting sqref="AI13">
    <cfRule type="duplicateValues" dxfId="7009" priority="2809"/>
  </conditionalFormatting>
  <conditionalFormatting sqref="AI13">
    <cfRule type="duplicateValues" dxfId="7008" priority="2808"/>
  </conditionalFormatting>
  <conditionalFormatting sqref="AI13">
    <cfRule type="duplicateValues" dxfId="7007" priority="2807"/>
  </conditionalFormatting>
  <conditionalFormatting sqref="AI13">
    <cfRule type="duplicateValues" dxfId="7006" priority="2806"/>
  </conditionalFormatting>
  <conditionalFormatting sqref="AI13">
    <cfRule type="duplicateValues" dxfId="7005" priority="2805"/>
  </conditionalFormatting>
  <conditionalFormatting sqref="AI13">
    <cfRule type="duplicateValues" dxfId="7004" priority="2804"/>
  </conditionalFormatting>
  <conditionalFormatting sqref="AI13">
    <cfRule type="duplicateValues" dxfId="7003" priority="2803"/>
  </conditionalFormatting>
  <conditionalFormatting sqref="AI13">
    <cfRule type="duplicateValues" dxfId="7002" priority="2801" stopIfTrue="1"/>
    <cfRule type="duplicateValues" dxfId="7001" priority="2802"/>
  </conditionalFormatting>
  <conditionalFormatting sqref="AI13">
    <cfRule type="duplicateValues" dxfId="7000" priority="2800"/>
  </conditionalFormatting>
  <conditionalFormatting sqref="AI13">
    <cfRule type="duplicateValues" dxfId="6999" priority="2799"/>
  </conditionalFormatting>
  <conditionalFormatting sqref="AI13">
    <cfRule type="duplicateValues" dxfId="6998" priority="2798"/>
  </conditionalFormatting>
  <conditionalFormatting sqref="AI13">
    <cfRule type="duplicateValues" dxfId="6997" priority="2797"/>
  </conditionalFormatting>
  <conditionalFormatting sqref="AI13">
    <cfRule type="duplicateValues" dxfId="6996" priority="2795" stopIfTrue="1"/>
    <cfRule type="duplicateValues" dxfId="6995" priority="2796"/>
  </conditionalFormatting>
  <conditionalFormatting sqref="AI13">
    <cfRule type="duplicateValues" dxfId="6994" priority="2794"/>
  </conditionalFormatting>
  <conditionalFormatting sqref="AI13">
    <cfRule type="duplicateValues" dxfId="6993" priority="2792" stopIfTrue="1"/>
    <cfRule type="duplicateValues" dxfId="6992" priority="2793"/>
  </conditionalFormatting>
  <conditionalFormatting sqref="AI13">
    <cfRule type="duplicateValues" dxfId="6991" priority="2791"/>
  </conditionalFormatting>
  <conditionalFormatting sqref="AI13">
    <cfRule type="duplicateValues" dxfId="6990" priority="2789" stopIfTrue="1"/>
    <cfRule type="duplicateValues" dxfId="6989" priority="2790"/>
  </conditionalFormatting>
  <conditionalFormatting sqref="AI13">
    <cfRule type="duplicateValues" dxfId="6988" priority="2788"/>
  </conditionalFormatting>
  <conditionalFormatting sqref="AI13">
    <cfRule type="duplicateValues" dxfId="6987" priority="2786" stopIfTrue="1"/>
    <cfRule type="duplicateValues" dxfId="6986" priority="2787"/>
  </conditionalFormatting>
  <conditionalFormatting sqref="AI13">
    <cfRule type="duplicateValues" dxfId="6985" priority="2785"/>
  </conditionalFormatting>
  <conditionalFormatting sqref="AI13">
    <cfRule type="duplicateValues" dxfId="6984" priority="2783" stopIfTrue="1"/>
    <cfRule type="duplicateValues" dxfId="6983" priority="2784"/>
  </conditionalFormatting>
  <conditionalFormatting sqref="AI13">
    <cfRule type="duplicateValues" dxfId="6982" priority="2782"/>
  </conditionalFormatting>
  <conditionalFormatting sqref="AI13">
    <cfRule type="duplicateValues" dxfId="6981" priority="2781"/>
  </conditionalFormatting>
  <conditionalFormatting sqref="AI13">
    <cfRule type="duplicateValues" dxfId="6980" priority="2780"/>
  </conditionalFormatting>
  <conditionalFormatting sqref="AI13">
    <cfRule type="duplicateValues" dxfId="6979" priority="2779"/>
  </conditionalFormatting>
  <conditionalFormatting sqref="AI13">
    <cfRule type="duplicateValues" dxfId="6978" priority="2778"/>
  </conditionalFormatting>
  <conditionalFormatting sqref="AI13">
    <cfRule type="duplicateValues" dxfId="6977" priority="2777"/>
  </conditionalFormatting>
  <conditionalFormatting sqref="AI13">
    <cfRule type="duplicateValues" dxfId="6976" priority="2776"/>
  </conditionalFormatting>
  <conditionalFormatting sqref="AI13">
    <cfRule type="duplicateValues" dxfId="6975" priority="2775"/>
  </conditionalFormatting>
  <conditionalFormatting sqref="AI13">
    <cfRule type="duplicateValues" dxfId="6974" priority="2774"/>
  </conditionalFormatting>
  <conditionalFormatting sqref="AI13">
    <cfRule type="duplicateValues" dxfId="6973" priority="2773"/>
  </conditionalFormatting>
  <conditionalFormatting sqref="AI13">
    <cfRule type="duplicateValues" dxfId="6972" priority="2772"/>
  </conditionalFormatting>
  <conditionalFormatting sqref="AI13">
    <cfRule type="duplicateValues" dxfId="6971" priority="2771"/>
  </conditionalFormatting>
  <conditionalFormatting sqref="AI13">
    <cfRule type="duplicateValues" dxfId="6970" priority="2770"/>
  </conditionalFormatting>
  <conditionalFormatting sqref="AI13">
    <cfRule type="duplicateValues" dxfId="6969" priority="2769"/>
  </conditionalFormatting>
  <conditionalFormatting sqref="AI13">
    <cfRule type="duplicateValues" dxfId="6968" priority="2768"/>
  </conditionalFormatting>
  <conditionalFormatting sqref="AI13">
    <cfRule type="duplicateValues" dxfId="6967" priority="2767"/>
  </conditionalFormatting>
  <conditionalFormatting sqref="AI13">
    <cfRule type="duplicateValues" dxfId="6966" priority="2766"/>
  </conditionalFormatting>
  <conditionalFormatting sqref="AI13">
    <cfRule type="duplicateValues" dxfId="6965" priority="2765"/>
  </conditionalFormatting>
  <conditionalFormatting sqref="AI13">
    <cfRule type="duplicateValues" dxfId="6964" priority="2764"/>
  </conditionalFormatting>
  <conditionalFormatting sqref="AI13">
    <cfRule type="duplicateValues" dxfId="6963" priority="2763"/>
  </conditionalFormatting>
  <conditionalFormatting sqref="AI13">
    <cfRule type="duplicateValues" dxfId="6962" priority="2762"/>
  </conditionalFormatting>
  <conditionalFormatting sqref="AI13">
    <cfRule type="duplicateValues" dxfId="6961" priority="2761"/>
  </conditionalFormatting>
  <conditionalFormatting sqref="AI13">
    <cfRule type="duplicateValues" dxfId="6960" priority="2760"/>
  </conditionalFormatting>
  <conditionalFormatting sqref="AI13">
    <cfRule type="duplicateValues" dxfId="6959" priority="2759"/>
  </conditionalFormatting>
  <conditionalFormatting sqref="AI13">
    <cfRule type="duplicateValues" dxfId="6958" priority="2758"/>
  </conditionalFormatting>
  <conditionalFormatting sqref="AI13">
    <cfRule type="duplicateValues" dxfId="6957" priority="2757"/>
  </conditionalFormatting>
  <conditionalFormatting sqref="AI13">
    <cfRule type="duplicateValues" dxfId="6956" priority="2756"/>
  </conditionalFormatting>
  <conditionalFormatting sqref="AI13">
    <cfRule type="duplicateValues" dxfId="6955" priority="2755"/>
  </conditionalFormatting>
  <conditionalFormatting sqref="AI13">
    <cfRule type="duplicateValues" dxfId="6954" priority="2754"/>
  </conditionalFormatting>
  <conditionalFormatting sqref="AI13">
    <cfRule type="duplicateValues" dxfId="6953" priority="2753"/>
  </conditionalFormatting>
  <conditionalFormatting sqref="AI13">
    <cfRule type="duplicateValues" dxfId="6952" priority="2752"/>
  </conditionalFormatting>
  <conditionalFormatting sqref="AI13">
    <cfRule type="duplicateValues" dxfId="6951" priority="2751"/>
  </conditionalFormatting>
  <conditionalFormatting sqref="AI13">
    <cfRule type="duplicateValues" dxfId="6950" priority="2750"/>
  </conditionalFormatting>
  <conditionalFormatting sqref="AI13">
    <cfRule type="duplicateValues" dxfId="6949" priority="2749"/>
  </conditionalFormatting>
  <conditionalFormatting sqref="AI13">
    <cfRule type="duplicateValues" dxfId="6948" priority="2748"/>
  </conditionalFormatting>
  <conditionalFormatting sqref="AI13">
    <cfRule type="duplicateValues" dxfId="6947" priority="2747"/>
  </conditionalFormatting>
  <conditionalFormatting sqref="AI13">
    <cfRule type="duplicateValues" dxfId="6946" priority="2746"/>
  </conditionalFormatting>
  <conditionalFormatting sqref="AI13">
    <cfRule type="duplicateValues" dxfId="6945" priority="2745"/>
  </conditionalFormatting>
  <conditionalFormatting sqref="AI13">
    <cfRule type="duplicateValues" dxfId="6944" priority="2744"/>
  </conditionalFormatting>
  <conditionalFormatting sqref="AI13">
    <cfRule type="duplicateValues" dxfId="6943" priority="2743"/>
  </conditionalFormatting>
  <conditionalFormatting sqref="AI13">
    <cfRule type="duplicateValues" dxfId="6942" priority="2741" stopIfTrue="1"/>
    <cfRule type="duplicateValues" dxfId="6941" priority="2742"/>
  </conditionalFormatting>
  <conditionalFormatting sqref="AI13">
    <cfRule type="duplicateValues" dxfId="6940" priority="2740"/>
  </conditionalFormatting>
  <conditionalFormatting sqref="AI13">
    <cfRule type="duplicateValues" dxfId="6939" priority="2739"/>
  </conditionalFormatting>
  <conditionalFormatting sqref="AI13">
    <cfRule type="duplicateValues" dxfId="6938" priority="2738"/>
  </conditionalFormatting>
  <conditionalFormatting sqref="AI13">
    <cfRule type="duplicateValues" dxfId="6937" priority="2737"/>
  </conditionalFormatting>
  <conditionalFormatting sqref="AI13">
    <cfRule type="duplicateValues" dxfId="6936" priority="2735" stopIfTrue="1"/>
    <cfRule type="duplicateValues" dxfId="6935" priority="2736"/>
  </conditionalFormatting>
  <conditionalFormatting sqref="AI13">
    <cfRule type="duplicateValues" dxfId="6934" priority="2734"/>
  </conditionalFormatting>
  <conditionalFormatting sqref="AI13">
    <cfRule type="duplicateValues" dxfId="6933" priority="2733"/>
  </conditionalFormatting>
  <conditionalFormatting sqref="AI13">
    <cfRule type="duplicateValues" dxfId="6932" priority="2732"/>
  </conditionalFormatting>
  <conditionalFormatting sqref="AI13">
    <cfRule type="duplicateValues" dxfId="6931" priority="2731"/>
  </conditionalFormatting>
  <conditionalFormatting sqref="AI13">
    <cfRule type="duplicateValues" dxfId="6930" priority="2730"/>
  </conditionalFormatting>
  <conditionalFormatting sqref="AI13">
    <cfRule type="duplicateValues" dxfId="6929" priority="2729"/>
  </conditionalFormatting>
  <conditionalFormatting sqref="AI13">
    <cfRule type="duplicateValues" dxfId="6928" priority="2728"/>
  </conditionalFormatting>
  <conditionalFormatting sqref="AI13">
    <cfRule type="duplicateValues" dxfId="6927" priority="2727"/>
  </conditionalFormatting>
  <conditionalFormatting sqref="AI13">
    <cfRule type="duplicateValues" dxfId="6926" priority="2726"/>
  </conditionalFormatting>
  <conditionalFormatting sqref="AI13">
    <cfRule type="duplicateValues" dxfId="6925" priority="2725"/>
  </conditionalFormatting>
  <conditionalFormatting sqref="AI13">
    <cfRule type="duplicateValues" dxfId="6924" priority="2723" stopIfTrue="1"/>
    <cfRule type="duplicateValues" dxfId="6923" priority="2724"/>
  </conditionalFormatting>
  <conditionalFormatting sqref="AI13">
    <cfRule type="duplicateValues" dxfId="6922" priority="2722"/>
  </conditionalFormatting>
  <conditionalFormatting sqref="AI13">
    <cfRule type="duplicateValues" dxfId="6921" priority="2720" stopIfTrue="1"/>
    <cfRule type="duplicateValues" dxfId="6920" priority="2721"/>
  </conditionalFormatting>
  <conditionalFormatting sqref="AI13">
    <cfRule type="duplicateValues" dxfId="6919" priority="2719"/>
  </conditionalFormatting>
  <conditionalFormatting sqref="AI13">
    <cfRule type="duplicateValues" dxfId="6918" priority="2717" stopIfTrue="1"/>
    <cfRule type="duplicateValues" dxfId="6917" priority="2718"/>
  </conditionalFormatting>
  <conditionalFormatting sqref="AI13">
    <cfRule type="duplicateValues" dxfId="6916" priority="2716"/>
  </conditionalFormatting>
  <conditionalFormatting sqref="AI13">
    <cfRule type="duplicateValues" dxfId="6915" priority="2714" stopIfTrue="1"/>
    <cfRule type="duplicateValues" dxfId="6914" priority="2715"/>
  </conditionalFormatting>
  <conditionalFormatting sqref="AI13">
    <cfRule type="duplicateValues" dxfId="6913" priority="2713"/>
  </conditionalFormatting>
  <conditionalFormatting sqref="AI13">
    <cfRule type="duplicateValues" dxfId="6912" priority="2711" stopIfTrue="1"/>
    <cfRule type="duplicateValues" dxfId="6911" priority="2712"/>
  </conditionalFormatting>
  <conditionalFormatting sqref="AI13">
    <cfRule type="duplicateValues" dxfId="6910" priority="2710"/>
  </conditionalFormatting>
  <conditionalFormatting sqref="AI13">
    <cfRule type="duplicateValues" dxfId="6909" priority="2709"/>
  </conditionalFormatting>
  <conditionalFormatting sqref="AI13">
    <cfRule type="duplicateValues" dxfId="6908" priority="2708"/>
  </conditionalFormatting>
  <conditionalFormatting sqref="AI13">
    <cfRule type="duplicateValues" dxfId="6907" priority="2707"/>
  </conditionalFormatting>
  <conditionalFormatting sqref="AI13">
    <cfRule type="duplicateValues" dxfId="6906" priority="2706"/>
  </conditionalFormatting>
  <conditionalFormatting sqref="AI13">
    <cfRule type="duplicateValues" dxfId="6905" priority="2705"/>
  </conditionalFormatting>
  <conditionalFormatting sqref="AI13">
    <cfRule type="duplicateValues" dxfId="6904" priority="2703" stopIfTrue="1"/>
    <cfRule type="duplicateValues" dxfId="6903" priority="2704"/>
  </conditionalFormatting>
  <conditionalFormatting sqref="AI13">
    <cfRule type="duplicateValues" dxfId="6902" priority="2702"/>
  </conditionalFormatting>
  <conditionalFormatting sqref="AI13">
    <cfRule type="duplicateValues" dxfId="6901" priority="2700" stopIfTrue="1"/>
    <cfRule type="duplicateValues" dxfId="6900" priority="2701"/>
  </conditionalFormatting>
  <conditionalFormatting sqref="AI13">
    <cfRule type="duplicateValues" dxfId="6899" priority="2699"/>
  </conditionalFormatting>
  <conditionalFormatting sqref="AI13">
    <cfRule type="duplicateValues" dxfId="6898" priority="2697" stopIfTrue="1"/>
    <cfRule type="duplicateValues" dxfId="6897" priority="2698"/>
  </conditionalFormatting>
  <conditionalFormatting sqref="AI13">
    <cfRule type="duplicateValues" dxfId="6896" priority="2696"/>
  </conditionalFormatting>
  <conditionalFormatting sqref="AI13">
    <cfRule type="duplicateValues" dxfId="6895" priority="2694" stopIfTrue="1"/>
    <cfRule type="duplicateValues" dxfId="6894" priority="2695"/>
  </conditionalFormatting>
  <conditionalFormatting sqref="AI13">
    <cfRule type="duplicateValues" dxfId="6893" priority="2693"/>
  </conditionalFormatting>
  <conditionalFormatting sqref="AI13">
    <cfRule type="duplicateValues" dxfId="6892" priority="2691" stopIfTrue="1"/>
    <cfRule type="duplicateValues" dxfId="6891" priority="2692"/>
  </conditionalFormatting>
  <conditionalFormatting sqref="AI13">
    <cfRule type="duplicateValues" dxfId="6890" priority="2690"/>
  </conditionalFormatting>
  <conditionalFormatting sqref="AI13">
    <cfRule type="duplicateValues" dxfId="6889" priority="2689"/>
  </conditionalFormatting>
  <conditionalFormatting sqref="AI13">
    <cfRule type="duplicateValues" dxfId="6888" priority="2688"/>
  </conditionalFormatting>
  <conditionalFormatting sqref="AI13">
    <cfRule type="duplicateValues" dxfId="6887" priority="2687"/>
  </conditionalFormatting>
  <conditionalFormatting sqref="AI13">
    <cfRule type="duplicateValues" dxfId="6886" priority="2686"/>
  </conditionalFormatting>
  <conditionalFormatting sqref="AI13">
    <cfRule type="duplicateValues" dxfId="6885" priority="2685"/>
  </conditionalFormatting>
  <conditionalFormatting sqref="AI13">
    <cfRule type="duplicateValues" dxfId="6884" priority="2683" stopIfTrue="1"/>
    <cfRule type="duplicateValues" dxfId="6883" priority="2684"/>
  </conditionalFormatting>
  <conditionalFormatting sqref="AI13">
    <cfRule type="duplicateValues" dxfId="6882" priority="2682"/>
  </conditionalFormatting>
  <conditionalFormatting sqref="AI13">
    <cfRule type="duplicateValues" dxfId="6881" priority="2680" stopIfTrue="1"/>
    <cfRule type="duplicateValues" dxfId="6880" priority="2681"/>
  </conditionalFormatting>
  <conditionalFormatting sqref="AI13">
    <cfRule type="duplicateValues" dxfId="6879" priority="2679"/>
  </conditionalFormatting>
  <conditionalFormatting sqref="AI13">
    <cfRule type="duplicateValues" dxfId="6878" priority="2677" stopIfTrue="1"/>
    <cfRule type="duplicateValues" dxfId="6877" priority="2678"/>
  </conditionalFormatting>
  <conditionalFormatting sqref="AI13">
    <cfRule type="duplicateValues" dxfId="6876" priority="2676"/>
  </conditionalFormatting>
  <conditionalFormatting sqref="AI13">
    <cfRule type="duplicateValues" dxfId="6875" priority="2674" stopIfTrue="1"/>
    <cfRule type="duplicateValues" dxfId="6874" priority="2675"/>
  </conditionalFormatting>
  <conditionalFormatting sqref="AI13">
    <cfRule type="duplicateValues" dxfId="6873" priority="2673"/>
  </conditionalFormatting>
  <conditionalFormatting sqref="AI13">
    <cfRule type="duplicateValues" dxfId="6872" priority="2671" stopIfTrue="1"/>
    <cfRule type="duplicateValues" dxfId="6871" priority="2672"/>
  </conditionalFormatting>
  <conditionalFormatting sqref="AI13">
    <cfRule type="duplicateValues" dxfId="6870" priority="2670"/>
  </conditionalFormatting>
  <conditionalFormatting sqref="AI13">
    <cfRule type="duplicateValues" dxfId="6869" priority="2669"/>
  </conditionalFormatting>
  <conditionalFormatting sqref="AI13">
    <cfRule type="duplicateValues" dxfId="6868" priority="2668"/>
  </conditionalFormatting>
  <conditionalFormatting sqref="AI13">
    <cfRule type="duplicateValues" dxfId="6867" priority="2667"/>
  </conditionalFormatting>
  <conditionalFormatting sqref="AI13">
    <cfRule type="duplicateValues" dxfId="6866" priority="2666"/>
  </conditionalFormatting>
  <conditionalFormatting sqref="AI13">
    <cfRule type="duplicateValues" dxfId="6865" priority="2665"/>
  </conditionalFormatting>
  <conditionalFormatting sqref="AI13">
    <cfRule type="duplicateValues" dxfId="6864" priority="2663" stopIfTrue="1"/>
    <cfRule type="duplicateValues" dxfId="6863" priority="2664"/>
  </conditionalFormatting>
  <conditionalFormatting sqref="AI13">
    <cfRule type="duplicateValues" dxfId="6862" priority="2662"/>
  </conditionalFormatting>
  <conditionalFormatting sqref="AI13">
    <cfRule type="duplicateValues" dxfId="6861" priority="2660" stopIfTrue="1"/>
    <cfRule type="duplicateValues" dxfId="6860" priority="2661"/>
  </conditionalFormatting>
  <conditionalFormatting sqref="AI13">
    <cfRule type="duplicateValues" dxfId="6859" priority="2659"/>
  </conditionalFormatting>
  <conditionalFormatting sqref="AI13">
    <cfRule type="duplicateValues" dxfId="6858" priority="2657" stopIfTrue="1"/>
    <cfRule type="duplicateValues" dxfId="6857" priority="2658"/>
  </conditionalFormatting>
  <conditionalFormatting sqref="AI13">
    <cfRule type="duplicateValues" dxfId="6856" priority="2656"/>
  </conditionalFormatting>
  <conditionalFormatting sqref="AI13">
    <cfRule type="duplicateValues" dxfId="6855" priority="2654" stopIfTrue="1"/>
    <cfRule type="duplicateValues" dxfId="6854" priority="2655"/>
  </conditionalFormatting>
  <conditionalFormatting sqref="AI13">
    <cfRule type="duplicateValues" dxfId="6853" priority="2653"/>
  </conditionalFormatting>
  <conditionalFormatting sqref="AI13">
    <cfRule type="duplicateValues" dxfId="6852" priority="2651" stopIfTrue="1"/>
    <cfRule type="duplicateValues" dxfId="6851" priority="2652"/>
  </conditionalFormatting>
  <conditionalFormatting sqref="AI13">
    <cfRule type="duplicateValues" dxfId="6850" priority="2650"/>
  </conditionalFormatting>
  <conditionalFormatting sqref="AI13">
    <cfRule type="duplicateValues" dxfId="6849" priority="2649"/>
  </conditionalFormatting>
  <conditionalFormatting sqref="AI13">
    <cfRule type="duplicateValues" dxfId="6848" priority="2648"/>
  </conditionalFormatting>
  <conditionalFormatting sqref="AI13">
    <cfRule type="duplicateValues" dxfId="6847" priority="2647"/>
  </conditionalFormatting>
  <conditionalFormatting sqref="AI13">
    <cfRule type="duplicateValues" dxfId="6846" priority="2646"/>
  </conditionalFormatting>
  <conditionalFormatting sqref="AI13">
    <cfRule type="duplicateValues" dxfId="6845" priority="2645"/>
  </conditionalFormatting>
  <conditionalFormatting sqref="AI13">
    <cfRule type="duplicateValues" dxfId="6844" priority="2644"/>
  </conditionalFormatting>
  <conditionalFormatting sqref="AI13">
    <cfRule type="duplicateValues" dxfId="6843" priority="2643"/>
  </conditionalFormatting>
  <conditionalFormatting sqref="AI13">
    <cfRule type="duplicateValues" dxfId="6842" priority="2642"/>
  </conditionalFormatting>
  <conditionalFormatting sqref="AI13">
    <cfRule type="duplicateValues" dxfId="6841" priority="2641"/>
  </conditionalFormatting>
  <conditionalFormatting sqref="AI13">
    <cfRule type="duplicateValues" dxfId="6840" priority="2640"/>
  </conditionalFormatting>
  <conditionalFormatting sqref="AI13">
    <cfRule type="duplicateValues" dxfId="6839" priority="2639"/>
  </conditionalFormatting>
  <conditionalFormatting sqref="AI13">
    <cfRule type="duplicateValues" dxfId="6838" priority="2638"/>
  </conditionalFormatting>
  <conditionalFormatting sqref="AI13">
    <cfRule type="duplicateValues" dxfId="6837" priority="2637"/>
  </conditionalFormatting>
  <conditionalFormatting sqref="AI13">
    <cfRule type="duplicateValues" dxfId="6836" priority="2636"/>
  </conditionalFormatting>
  <conditionalFormatting sqref="AI13">
    <cfRule type="duplicateValues" dxfId="6835" priority="2635"/>
  </conditionalFormatting>
  <conditionalFormatting sqref="AI13">
    <cfRule type="duplicateValues" dxfId="6834" priority="2634"/>
  </conditionalFormatting>
  <conditionalFormatting sqref="AI13">
    <cfRule type="duplicateValues" dxfId="6833" priority="2633"/>
  </conditionalFormatting>
  <conditionalFormatting sqref="AI13">
    <cfRule type="duplicateValues" dxfId="6832" priority="2632"/>
  </conditionalFormatting>
  <conditionalFormatting sqref="AI13">
    <cfRule type="duplicateValues" dxfId="6831" priority="2631"/>
  </conditionalFormatting>
  <conditionalFormatting sqref="AI13">
    <cfRule type="duplicateValues" dxfId="6830" priority="2630"/>
  </conditionalFormatting>
  <conditionalFormatting sqref="AI13">
    <cfRule type="duplicateValues" dxfId="6829" priority="2629"/>
  </conditionalFormatting>
  <conditionalFormatting sqref="AI13">
    <cfRule type="duplicateValues" dxfId="6828" priority="2628"/>
  </conditionalFormatting>
  <conditionalFormatting sqref="AI13">
    <cfRule type="duplicateValues" dxfId="6827" priority="2627"/>
  </conditionalFormatting>
  <conditionalFormatting sqref="AI13">
    <cfRule type="duplicateValues" dxfId="6826" priority="2626"/>
  </conditionalFormatting>
  <conditionalFormatting sqref="AI13">
    <cfRule type="duplicateValues" dxfId="6825" priority="2625"/>
  </conditionalFormatting>
  <conditionalFormatting sqref="AI13">
    <cfRule type="duplicateValues" dxfId="6824" priority="2624"/>
  </conditionalFormatting>
  <conditionalFormatting sqref="AI13">
    <cfRule type="duplicateValues" dxfId="6823" priority="2623"/>
  </conditionalFormatting>
  <conditionalFormatting sqref="AI13">
    <cfRule type="duplicateValues" dxfId="6822" priority="2622"/>
  </conditionalFormatting>
  <conditionalFormatting sqref="AI13">
    <cfRule type="duplicateValues" dxfId="6821" priority="2621"/>
  </conditionalFormatting>
  <conditionalFormatting sqref="AI13">
    <cfRule type="duplicateValues" dxfId="6820" priority="2620"/>
  </conditionalFormatting>
  <conditionalFormatting sqref="AI13">
    <cfRule type="duplicateValues" dxfId="6819" priority="2619"/>
  </conditionalFormatting>
  <conditionalFormatting sqref="AI13">
    <cfRule type="duplicateValues" dxfId="6818" priority="2618"/>
  </conditionalFormatting>
  <conditionalFormatting sqref="AI13">
    <cfRule type="duplicateValues" dxfId="6817" priority="2617"/>
  </conditionalFormatting>
  <conditionalFormatting sqref="AI13">
    <cfRule type="duplicateValues" dxfId="6816" priority="2616"/>
  </conditionalFormatting>
  <conditionalFormatting sqref="AI13">
    <cfRule type="duplicateValues" dxfId="6815" priority="2615"/>
  </conditionalFormatting>
  <conditionalFormatting sqref="AI13">
    <cfRule type="duplicateValues" dxfId="6814" priority="2614"/>
  </conditionalFormatting>
  <conditionalFormatting sqref="AI13">
    <cfRule type="duplicateValues" dxfId="6813" priority="2613"/>
  </conditionalFormatting>
  <conditionalFormatting sqref="AI13">
    <cfRule type="duplicateValues" dxfId="6812" priority="2612"/>
  </conditionalFormatting>
  <conditionalFormatting sqref="AI13">
    <cfRule type="duplicateValues" dxfId="6811" priority="2611"/>
  </conditionalFormatting>
  <conditionalFormatting sqref="AI13">
    <cfRule type="duplicateValues" dxfId="6810" priority="2609" stopIfTrue="1"/>
    <cfRule type="duplicateValues" dxfId="6809" priority="2610"/>
  </conditionalFormatting>
  <conditionalFormatting sqref="AI13">
    <cfRule type="duplicateValues" dxfId="6808" priority="2608"/>
  </conditionalFormatting>
  <conditionalFormatting sqref="AI13">
    <cfRule type="duplicateValues" dxfId="6807" priority="2607"/>
  </conditionalFormatting>
  <conditionalFormatting sqref="AI13">
    <cfRule type="duplicateValues" dxfId="6806" priority="2606"/>
  </conditionalFormatting>
  <conditionalFormatting sqref="AI13">
    <cfRule type="duplicateValues" dxfId="6805" priority="2605"/>
  </conditionalFormatting>
  <conditionalFormatting sqref="AI13">
    <cfRule type="duplicateValues" dxfId="6804" priority="2603" stopIfTrue="1"/>
    <cfRule type="duplicateValues" dxfId="6803" priority="2604"/>
  </conditionalFormatting>
  <conditionalFormatting sqref="AI13">
    <cfRule type="duplicateValues" dxfId="6802" priority="2602"/>
  </conditionalFormatting>
  <conditionalFormatting sqref="AI13">
    <cfRule type="duplicateValues" dxfId="6801" priority="2600" stopIfTrue="1"/>
    <cfRule type="duplicateValues" dxfId="6800" priority="2601"/>
  </conditionalFormatting>
  <conditionalFormatting sqref="AI13">
    <cfRule type="duplicateValues" dxfId="6799" priority="2599"/>
  </conditionalFormatting>
  <conditionalFormatting sqref="AI13">
    <cfRule type="duplicateValues" dxfId="6798" priority="2597" stopIfTrue="1"/>
    <cfRule type="duplicateValues" dxfId="6797" priority="2598"/>
  </conditionalFormatting>
  <conditionalFormatting sqref="AI13">
    <cfRule type="duplicateValues" dxfId="6796" priority="2596"/>
  </conditionalFormatting>
  <conditionalFormatting sqref="AI13">
    <cfRule type="duplicateValues" dxfId="6795" priority="2594" stopIfTrue="1"/>
    <cfRule type="duplicateValues" dxfId="6794" priority="2595"/>
  </conditionalFormatting>
  <conditionalFormatting sqref="AI13">
    <cfRule type="duplicateValues" dxfId="6793" priority="2593"/>
  </conditionalFormatting>
  <conditionalFormatting sqref="AI13">
    <cfRule type="duplicateValues" dxfId="6792" priority="2591" stopIfTrue="1"/>
    <cfRule type="duplicateValues" dxfId="6791" priority="2592"/>
  </conditionalFormatting>
  <conditionalFormatting sqref="AI13">
    <cfRule type="duplicateValues" dxfId="6790" priority="2590"/>
  </conditionalFormatting>
  <conditionalFormatting sqref="AI13">
    <cfRule type="duplicateValues" dxfId="6789" priority="2589"/>
  </conditionalFormatting>
  <conditionalFormatting sqref="AI13">
    <cfRule type="duplicateValues" dxfId="6788" priority="2588"/>
  </conditionalFormatting>
  <conditionalFormatting sqref="AI13">
    <cfRule type="duplicateValues" dxfId="6787" priority="2587"/>
  </conditionalFormatting>
  <conditionalFormatting sqref="AI13">
    <cfRule type="duplicateValues" dxfId="6786" priority="2586"/>
  </conditionalFormatting>
  <conditionalFormatting sqref="AI13">
    <cfRule type="duplicateValues" dxfId="6785" priority="2585"/>
  </conditionalFormatting>
  <conditionalFormatting sqref="AI13">
    <cfRule type="duplicateValues" dxfId="6784" priority="2583" stopIfTrue="1"/>
    <cfRule type="duplicateValues" dxfId="6783" priority="2584"/>
  </conditionalFormatting>
  <conditionalFormatting sqref="AI13">
    <cfRule type="duplicateValues" dxfId="6782" priority="2582"/>
  </conditionalFormatting>
  <conditionalFormatting sqref="AI13">
    <cfRule type="duplicateValues" dxfId="6781" priority="2580" stopIfTrue="1"/>
    <cfRule type="duplicateValues" dxfId="6780" priority="2581"/>
  </conditionalFormatting>
  <conditionalFormatting sqref="AI13">
    <cfRule type="duplicateValues" dxfId="6779" priority="2579"/>
  </conditionalFormatting>
  <conditionalFormatting sqref="AI13">
    <cfRule type="duplicateValues" dxfId="6778" priority="2577" stopIfTrue="1"/>
    <cfRule type="duplicateValues" dxfId="6777" priority="2578"/>
  </conditionalFormatting>
  <conditionalFormatting sqref="AI13">
    <cfRule type="duplicateValues" dxfId="6776" priority="2576"/>
  </conditionalFormatting>
  <conditionalFormatting sqref="AI13">
    <cfRule type="duplicateValues" dxfId="6775" priority="2574" stopIfTrue="1"/>
    <cfRule type="duplicateValues" dxfId="6774" priority="2575"/>
  </conditionalFormatting>
  <conditionalFormatting sqref="AI13">
    <cfRule type="duplicateValues" dxfId="6773" priority="2573"/>
  </conditionalFormatting>
  <conditionalFormatting sqref="AI13">
    <cfRule type="duplicateValues" dxfId="6772" priority="2571" stopIfTrue="1"/>
    <cfRule type="duplicateValues" dxfId="6771" priority="2572"/>
  </conditionalFormatting>
  <conditionalFormatting sqref="AI13">
    <cfRule type="duplicateValues" dxfId="6770" priority="2570"/>
  </conditionalFormatting>
  <conditionalFormatting sqref="AI13">
    <cfRule type="duplicateValues" dxfId="6769" priority="2569"/>
  </conditionalFormatting>
  <conditionalFormatting sqref="AI13">
    <cfRule type="duplicateValues" dxfId="6768" priority="2568"/>
  </conditionalFormatting>
  <conditionalFormatting sqref="AI13">
    <cfRule type="duplicateValues" dxfId="6767" priority="2567"/>
  </conditionalFormatting>
  <conditionalFormatting sqref="AI13">
    <cfRule type="duplicateValues" dxfId="6766" priority="2566"/>
  </conditionalFormatting>
  <conditionalFormatting sqref="AI13">
    <cfRule type="duplicateValues" dxfId="6765" priority="2565"/>
  </conditionalFormatting>
  <conditionalFormatting sqref="AI13">
    <cfRule type="duplicateValues" dxfId="6764" priority="2563" stopIfTrue="1"/>
    <cfRule type="duplicateValues" dxfId="6763" priority="2564"/>
  </conditionalFormatting>
  <conditionalFormatting sqref="AI13">
    <cfRule type="duplicateValues" dxfId="6762" priority="2562"/>
  </conditionalFormatting>
  <conditionalFormatting sqref="AI13">
    <cfRule type="duplicateValues" dxfId="6761" priority="2560" stopIfTrue="1"/>
    <cfRule type="duplicateValues" dxfId="6760" priority="2561"/>
  </conditionalFormatting>
  <conditionalFormatting sqref="AI13">
    <cfRule type="duplicateValues" dxfId="6759" priority="2559"/>
  </conditionalFormatting>
  <conditionalFormatting sqref="AI13">
    <cfRule type="duplicateValues" dxfId="6758" priority="2557" stopIfTrue="1"/>
    <cfRule type="duplicateValues" dxfId="6757" priority="2558"/>
  </conditionalFormatting>
  <conditionalFormatting sqref="AI13">
    <cfRule type="duplicateValues" dxfId="6756" priority="2556"/>
  </conditionalFormatting>
  <conditionalFormatting sqref="AI13">
    <cfRule type="duplicateValues" dxfId="6755" priority="2554" stopIfTrue="1"/>
    <cfRule type="duplicateValues" dxfId="6754" priority="2555"/>
  </conditionalFormatting>
  <conditionalFormatting sqref="AI13">
    <cfRule type="duplicateValues" dxfId="6753" priority="2553"/>
  </conditionalFormatting>
  <conditionalFormatting sqref="AI13">
    <cfRule type="duplicateValues" dxfId="6752" priority="2551" stopIfTrue="1"/>
    <cfRule type="duplicateValues" dxfId="6751" priority="2552"/>
  </conditionalFormatting>
  <conditionalFormatting sqref="AI13">
    <cfRule type="duplicateValues" dxfId="6750" priority="2550"/>
  </conditionalFormatting>
  <conditionalFormatting sqref="AI13">
    <cfRule type="duplicateValues" dxfId="6749" priority="2549"/>
  </conditionalFormatting>
  <conditionalFormatting sqref="AI13">
    <cfRule type="duplicateValues" dxfId="6748" priority="2548"/>
  </conditionalFormatting>
  <conditionalFormatting sqref="AI13">
    <cfRule type="duplicateValues" dxfId="6747" priority="2547"/>
  </conditionalFormatting>
  <conditionalFormatting sqref="AI13">
    <cfRule type="duplicateValues" dxfId="6746" priority="2546"/>
  </conditionalFormatting>
  <conditionalFormatting sqref="AI13">
    <cfRule type="duplicateValues" dxfId="6745" priority="2545"/>
  </conditionalFormatting>
  <conditionalFormatting sqref="AI13">
    <cfRule type="duplicateValues" dxfId="6744" priority="2544"/>
  </conditionalFormatting>
  <conditionalFormatting sqref="AI13">
    <cfRule type="duplicateValues" dxfId="6743" priority="2543"/>
  </conditionalFormatting>
  <conditionalFormatting sqref="AI13">
    <cfRule type="duplicateValues" dxfId="6742" priority="2542"/>
  </conditionalFormatting>
  <conditionalFormatting sqref="AI13">
    <cfRule type="duplicateValues" dxfId="6741" priority="2541"/>
  </conditionalFormatting>
  <conditionalFormatting sqref="AI13">
    <cfRule type="duplicateValues" dxfId="6740" priority="2540"/>
  </conditionalFormatting>
  <conditionalFormatting sqref="AI13">
    <cfRule type="duplicateValues" dxfId="6739" priority="2539"/>
  </conditionalFormatting>
  <conditionalFormatting sqref="AI13">
    <cfRule type="duplicateValues" dxfId="6738" priority="2538"/>
  </conditionalFormatting>
  <conditionalFormatting sqref="AI13">
    <cfRule type="duplicateValues" dxfId="6737" priority="2537"/>
  </conditionalFormatting>
  <conditionalFormatting sqref="AI13">
    <cfRule type="duplicateValues" dxfId="6736" priority="2536"/>
  </conditionalFormatting>
  <conditionalFormatting sqref="AI13">
    <cfRule type="duplicateValues" dxfId="6735" priority="2535"/>
  </conditionalFormatting>
  <conditionalFormatting sqref="AI13">
    <cfRule type="duplicateValues" dxfId="6734" priority="2534"/>
  </conditionalFormatting>
  <conditionalFormatting sqref="AI13">
    <cfRule type="duplicateValues" dxfId="6733" priority="2533"/>
  </conditionalFormatting>
  <conditionalFormatting sqref="AI13">
    <cfRule type="duplicateValues" dxfId="6732" priority="2532"/>
  </conditionalFormatting>
  <conditionalFormatting sqref="AI13">
    <cfRule type="duplicateValues" dxfId="6731" priority="2531"/>
  </conditionalFormatting>
  <conditionalFormatting sqref="AI13">
    <cfRule type="duplicateValues" dxfId="6730" priority="2530"/>
  </conditionalFormatting>
  <conditionalFormatting sqref="AI13">
    <cfRule type="duplicateValues" dxfId="6729" priority="2529"/>
  </conditionalFormatting>
  <conditionalFormatting sqref="AI13">
    <cfRule type="duplicateValues" dxfId="6728" priority="2528"/>
  </conditionalFormatting>
  <conditionalFormatting sqref="AI13">
    <cfRule type="duplicateValues" dxfId="6727" priority="2527"/>
  </conditionalFormatting>
  <conditionalFormatting sqref="AI13">
    <cfRule type="duplicateValues" dxfId="6726" priority="2526"/>
  </conditionalFormatting>
  <conditionalFormatting sqref="AI13">
    <cfRule type="duplicateValues" dxfId="6725" priority="2525"/>
  </conditionalFormatting>
  <conditionalFormatting sqref="AI13">
    <cfRule type="duplicateValues" dxfId="6724" priority="2524"/>
  </conditionalFormatting>
  <conditionalFormatting sqref="AI13">
    <cfRule type="duplicateValues" dxfId="6723" priority="2523"/>
  </conditionalFormatting>
  <conditionalFormatting sqref="AI13">
    <cfRule type="duplicateValues" dxfId="6722" priority="2522"/>
  </conditionalFormatting>
  <conditionalFormatting sqref="AI13">
    <cfRule type="duplicateValues" dxfId="6721" priority="2521"/>
  </conditionalFormatting>
  <conditionalFormatting sqref="AI13">
    <cfRule type="duplicateValues" dxfId="6720" priority="2520"/>
  </conditionalFormatting>
  <conditionalFormatting sqref="AI13">
    <cfRule type="duplicateValues" dxfId="6719" priority="2519"/>
  </conditionalFormatting>
  <conditionalFormatting sqref="AI13">
    <cfRule type="duplicateValues" dxfId="6718" priority="2518"/>
  </conditionalFormatting>
  <conditionalFormatting sqref="AI13">
    <cfRule type="duplicateValues" dxfId="6717" priority="2517"/>
  </conditionalFormatting>
  <conditionalFormatting sqref="AI13">
    <cfRule type="duplicateValues" dxfId="6716" priority="2516"/>
  </conditionalFormatting>
  <conditionalFormatting sqref="AI13">
    <cfRule type="duplicateValues" dxfId="6715" priority="2515"/>
  </conditionalFormatting>
  <conditionalFormatting sqref="AI13">
    <cfRule type="duplicateValues" dxfId="6714" priority="2514"/>
  </conditionalFormatting>
  <conditionalFormatting sqref="AI13">
    <cfRule type="duplicateValues" dxfId="6713" priority="2513"/>
  </conditionalFormatting>
  <conditionalFormatting sqref="AI13">
    <cfRule type="duplicateValues" dxfId="6712" priority="2512"/>
  </conditionalFormatting>
  <conditionalFormatting sqref="AI13">
    <cfRule type="duplicateValues" dxfId="6711" priority="2511"/>
  </conditionalFormatting>
  <conditionalFormatting sqref="AI13">
    <cfRule type="duplicateValues" dxfId="6710" priority="2509" stopIfTrue="1"/>
    <cfRule type="duplicateValues" dxfId="6709" priority="2510"/>
  </conditionalFormatting>
  <conditionalFormatting sqref="AI13">
    <cfRule type="duplicateValues" dxfId="6708" priority="2508"/>
  </conditionalFormatting>
  <conditionalFormatting sqref="AI13">
    <cfRule type="duplicateValues" dxfId="6707" priority="2507"/>
  </conditionalFormatting>
  <conditionalFormatting sqref="AI13">
    <cfRule type="duplicateValues" dxfId="6706" priority="2506"/>
  </conditionalFormatting>
  <conditionalFormatting sqref="AI13">
    <cfRule type="duplicateValues" dxfId="6705" priority="2505"/>
  </conditionalFormatting>
  <conditionalFormatting sqref="AI13">
    <cfRule type="duplicateValues" dxfId="6704" priority="2503" stopIfTrue="1"/>
    <cfRule type="duplicateValues" dxfId="6703" priority="2504"/>
  </conditionalFormatting>
  <conditionalFormatting sqref="AI13">
    <cfRule type="duplicateValues" dxfId="6702" priority="2502"/>
  </conditionalFormatting>
  <conditionalFormatting sqref="AI13">
    <cfRule type="duplicateValues" dxfId="6701" priority="2500" stopIfTrue="1"/>
    <cfRule type="duplicateValues" dxfId="6700" priority="2501"/>
  </conditionalFormatting>
  <conditionalFormatting sqref="AI13">
    <cfRule type="duplicateValues" dxfId="6699" priority="2499"/>
  </conditionalFormatting>
  <conditionalFormatting sqref="AI13">
    <cfRule type="duplicateValues" dxfId="6698" priority="2497" stopIfTrue="1"/>
    <cfRule type="duplicateValues" dxfId="6697" priority="2498"/>
  </conditionalFormatting>
  <conditionalFormatting sqref="AI13">
    <cfRule type="duplicateValues" dxfId="6696" priority="2496"/>
  </conditionalFormatting>
  <conditionalFormatting sqref="AI13">
    <cfRule type="duplicateValues" dxfId="6695" priority="2494" stopIfTrue="1"/>
    <cfRule type="duplicateValues" dxfId="6694" priority="2495"/>
  </conditionalFormatting>
  <conditionalFormatting sqref="AI13">
    <cfRule type="duplicateValues" dxfId="6693" priority="2493"/>
  </conditionalFormatting>
  <conditionalFormatting sqref="AI13">
    <cfRule type="duplicateValues" dxfId="6692" priority="2491" stopIfTrue="1"/>
    <cfRule type="duplicateValues" dxfId="6691" priority="2492"/>
  </conditionalFormatting>
  <conditionalFormatting sqref="AI13">
    <cfRule type="duplicateValues" dxfId="6690" priority="2490"/>
  </conditionalFormatting>
  <conditionalFormatting sqref="AI13">
    <cfRule type="duplicateValues" dxfId="6689" priority="2489"/>
  </conditionalFormatting>
  <conditionalFormatting sqref="AI13">
    <cfRule type="duplicateValues" dxfId="6688" priority="2488"/>
  </conditionalFormatting>
  <conditionalFormatting sqref="AI13">
    <cfRule type="duplicateValues" dxfId="6687" priority="2487"/>
  </conditionalFormatting>
  <conditionalFormatting sqref="AI13">
    <cfRule type="duplicateValues" dxfId="6686" priority="2486"/>
  </conditionalFormatting>
  <conditionalFormatting sqref="AI13">
    <cfRule type="duplicateValues" dxfId="6685" priority="2485"/>
  </conditionalFormatting>
  <conditionalFormatting sqref="AI13">
    <cfRule type="duplicateValues" dxfId="6684" priority="2483" stopIfTrue="1"/>
    <cfRule type="duplicateValues" dxfId="6683" priority="2484"/>
  </conditionalFormatting>
  <conditionalFormatting sqref="AI13">
    <cfRule type="duplicateValues" dxfId="6682" priority="2482"/>
  </conditionalFormatting>
  <conditionalFormatting sqref="AI13">
    <cfRule type="duplicateValues" dxfId="6681" priority="2480" stopIfTrue="1"/>
    <cfRule type="duplicateValues" dxfId="6680" priority="2481"/>
  </conditionalFormatting>
  <conditionalFormatting sqref="AI13">
    <cfRule type="duplicateValues" dxfId="6679" priority="2479"/>
  </conditionalFormatting>
  <conditionalFormatting sqref="AI13">
    <cfRule type="duplicateValues" dxfId="6678" priority="2477" stopIfTrue="1"/>
    <cfRule type="duplicateValues" dxfId="6677" priority="2478"/>
  </conditionalFormatting>
  <conditionalFormatting sqref="AI13">
    <cfRule type="duplicateValues" dxfId="6676" priority="2476"/>
  </conditionalFormatting>
  <conditionalFormatting sqref="AI13">
    <cfRule type="duplicateValues" dxfId="6675" priority="2474" stopIfTrue="1"/>
    <cfRule type="duplicateValues" dxfId="6674" priority="2475"/>
  </conditionalFormatting>
  <conditionalFormatting sqref="AI13">
    <cfRule type="duplicateValues" dxfId="6673" priority="2473"/>
  </conditionalFormatting>
  <conditionalFormatting sqref="AI13">
    <cfRule type="duplicateValues" dxfId="6672" priority="2471" stopIfTrue="1"/>
    <cfRule type="duplicateValues" dxfId="6671" priority="2472"/>
  </conditionalFormatting>
  <conditionalFormatting sqref="AI13">
    <cfRule type="duplicateValues" dxfId="6670" priority="2470"/>
  </conditionalFormatting>
  <conditionalFormatting sqref="AI13">
    <cfRule type="duplicateValues" dxfId="6669" priority="2469"/>
  </conditionalFormatting>
  <conditionalFormatting sqref="AI13">
    <cfRule type="duplicateValues" dxfId="6668" priority="2468"/>
  </conditionalFormatting>
  <conditionalFormatting sqref="AI13">
    <cfRule type="duplicateValues" dxfId="6667" priority="2467"/>
  </conditionalFormatting>
  <conditionalFormatting sqref="AI13">
    <cfRule type="duplicateValues" dxfId="6666" priority="2466"/>
  </conditionalFormatting>
  <conditionalFormatting sqref="AI13">
    <cfRule type="duplicateValues" dxfId="6665" priority="2465"/>
  </conditionalFormatting>
  <conditionalFormatting sqref="AI13">
    <cfRule type="duplicateValues" dxfId="6664" priority="2464"/>
  </conditionalFormatting>
  <conditionalFormatting sqref="AI13">
    <cfRule type="duplicateValues" dxfId="6663" priority="2463"/>
  </conditionalFormatting>
  <conditionalFormatting sqref="AI13">
    <cfRule type="duplicateValues" dxfId="6662" priority="2462"/>
  </conditionalFormatting>
  <conditionalFormatting sqref="AI13">
    <cfRule type="duplicateValues" dxfId="6661" priority="2461"/>
  </conditionalFormatting>
  <conditionalFormatting sqref="AI13">
    <cfRule type="duplicateValues" dxfId="6660" priority="2460"/>
  </conditionalFormatting>
  <conditionalFormatting sqref="AI13">
    <cfRule type="duplicateValues" dxfId="6659" priority="2459"/>
  </conditionalFormatting>
  <conditionalFormatting sqref="AI13">
    <cfRule type="duplicateValues" dxfId="6658" priority="2458"/>
  </conditionalFormatting>
  <conditionalFormatting sqref="AI13">
    <cfRule type="duplicateValues" dxfId="6657" priority="2457"/>
  </conditionalFormatting>
  <conditionalFormatting sqref="AI13">
    <cfRule type="duplicateValues" dxfId="6656" priority="2456"/>
  </conditionalFormatting>
  <conditionalFormatting sqref="AI13">
    <cfRule type="duplicateValues" dxfId="6655" priority="2455"/>
  </conditionalFormatting>
  <conditionalFormatting sqref="AI13">
    <cfRule type="duplicateValues" dxfId="6654" priority="2454"/>
  </conditionalFormatting>
  <conditionalFormatting sqref="AI13">
    <cfRule type="duplicateValues" dxfId="6653" priority="2453"/>
  </conditionalFormatting>
  <conditionalFormatting sqref="AI13">
    <cfRule type="duplicateValues" dxfId="6652" priority="2452"/>
  </conditionalFormatting>
  <conditionalFormatting sqref="AI13">
    <cfRule type="duplicateValues" dxfId="6651" priority="2451"/>
  </conditionalFormatting>
  <conditionalFormatting sqref="AI13">
    <cfRule type="duplicateValues" dxfId="6650" priority="2450"/>
  </conditionalFormatting>
  <conditionalFormatting sqref="AI13">
    <cfRule type="duplicateValues" dxfId="6649" priority="2449"/>
  </conditionalFormatting>
  <conditionalFormatting sqref="AI13">
    <cfRule type="duplicateValues" dxfId="6648" priority="2448"/>
  </conditionalFormatting>
  <conditionalFormatting sqref="AI13">
    <cfRule type="duplicateValues" dxfId="6647" priority="2447"/>
  </conditionalFormatting>
  <conditionalFormatting sqref="AI13">
    <cfRule type="duplicateValues" dxfId="6646" priority="2446"/>
  </conditionalFormatting>
  <conditionalFormatting sqref="AI13">
    <cfRule type="duplicateValues" dxfId="6645" priority="2445"/>
  </conditionalFormatting>
  <conditionalFormatting sqref="AI13">
    <cfRule type="duplicateValues" dxfId="6644" priority="2444"/>
  </conditionalFormatting>
  <conditionalFormatting sqref="AI13">
    <cfRule type="duplicateValues" dxfId="6643" priority="2443"/>
  </conditionalFormatting>
  <conditionalFormatting sqref="AI13">
    <cfRule type="duplicateValues" dxfId="6642" priority="2442"/>
  </conditionalFormatting>
  <conditionalFormatting sqref="AI13">
    <cfRule type="duplicateValues" dxfId="6641" priority="2441"/>
  </conditionalFormatting>
  <conditionalFormatting sqref="AI13">
    <cfRule type="duplicateValues" dxfId="6640" priority="2440"/>
  </conditionalFormatting>
  <conditionalFormatting sqref="AI13">
    <cfRule type="duplicateValues" dxfId="6639" priority="2439"/>
  </conditionalFormatting>
  <conditionalFormatting sqref="AI13">
    <cfRule type="duplicateValues" dxfId="6638" priority="2438"/>
  </conditionalFormatting>
  <conditionalFormatting sqref="AI13">
    <cfRule type="duplicateValues" dxfId="6637" priority="2437"/>
  </conditionalFormatting>
  <conditionalFormatting sqref="AI13">
    <cfRule type="duplicateValues" dxfId="6636" priority="2436"/>
  </conditionalFormatting>
  <conditionalFormatting sqref="AI13">
    <cfRule type="duplicateValues" dxfId="6635" priority="2435"/>
  </conditionalFormatting>
  <conditionalFormatting sqref="AI13">
    <cfRule type="duplicateValues" dxfId="6634" priority="2434"/>
  </conditionalFormatting>
  <conditionalFormatting sqref="AI13">
    <cfRule type="duplicateValues" dxfId="6633" priority="2433"/>
  </conditionalFormatting>
  <conditionalFormatting sqref="AI13">
    <cfRule type="duplicateValues" dxfId="6632" priority="2432"/>
  </conditionalFormatting>
  <conditionalFormatting sqref="AI13">
    <cfRule type="duplicateValues" dxfId="6631" priority="2431"/>
  </conditionalFormatting>
  <conditionalFormatting sqref="AI13">
    <cfRule type="duplicateValues" dxfId="6630" priority="2429" stopIfTrue="1"/>
    <cfRule type="duplicateValues" dxfId="6629" priority="2430"/>
  </conditionalFormatting>
  <conditionalFormatting sqref="AI13">
    <cfRule type="duplicateValues" dxfId="6628" priority="2428"/>
  </conditionalFormatting>
  <conditionalFormatting sqref="AI13">
    <cfRule type="duplicateValues" dxfId="6627" priority="2427"/>
  </conditionalFormatting>
  <conditionalFormatting sqref="AI13">
    <cfRule type="duplicateValues" dxfId="6626" priority="2426"/>
  </conditionalFormatting>
  <conditionalFormatting sqref="AI13">
    <cfRule type="duplicateValues" dxfId="6625" priority="2425"/>
  </conditionalFormatting>
  <conditionalFormatting sqref="AI13">
    <cfRule type="duplicateValues" dxfId="6624" priority="2423" stopIfTrue="1"/>
    <cfRule type="duplicateValues" dxfId="6623" priority="2424"/>
  </conditionalFormatting>
  <conditionalFormatting sqref="AI13">
    <cfRule type="duplicateValues" dxfId="6622" priority="2422"/>
  </conditionalFormatting>
  <conditionalFormatting sqref="AI13">
    <cfRule type="duplicateValues" dxfId="6621" priority="2420" stopIfTrue="1"/>
    <cfRule type="duplicateValues" dxfId="6620" priority="2421"/>
  </conditionalFormatting>
  <conditionalFormatting sqref="AI13">
    <cfRule type="duplicateValues" dxfId="6619" priority="2419"/>
  </conditionalFormatting>
  <conditionalFormatting sqref="AI13">
    <cfRule type="duplicateValues" dxfId="6618" priority="2417" stopIfTrue="1"/>
    <cfRule type="duplicateValues" dxfId="6617" priority="2418"/>
  </conditionalFormatting>
  <conditionalFormatting sqref="AI13">
    <cfRule type="duplicateValues" dxfId="6616" priority="2416"/>
  </conditionalFormatting>
  <conditionalFormatting sqref="AI13">
    <cfRule type="duplicateValues" dxfId="6615" priority="2414" stopIfTrue="1"/>
    <cfRule type="duplicateValues" dxfId="6614" priority="2415"/>
  </conditionalFormatting>
  <conditionalFormatting sqref="AI13">
    <cfRule type="duplicateValues" dxfId="6613" priority="2413"/>
  </conditionalFormatting>
  <conditionalFormatting sqref="AI13">
    <cfRule type="duplicateValues" dxfId="6612" priority="2411" stopIfTrue="1"/>
    <cfRule type="duplicateValues" dxfId="6611" priority="2412"/>
  </conditionalFormatting>
  <conditionalFormatting sqref="AI13">
    <cfRule type="duplicateValues" dxfId="6610" priority="2410"/>
  </conditionalFormatting>
  <conditionalFormatting sqref="AI13">
    <cfRule type="duplicateValues" dxfId="6609" priority="2409"/>
  </conditionalFormatting>
  <conditionalFormatting sqref="AI13">
    <cfRule type="duplicateValues" dxfId="6608" priority="2408"/>
  </conditionalFormatting>
  <conditionalFormatting sqref="AI13">
    <cfRule type="duplicateValues" dxfId="6607" priority="2407"/>
  </conditionalFormatting>
  <conditionalFormatting sqref="AI13">
    <cfRule type="duplicateValues" dxfId="6606" priority="2406"/>
  </conditionalFormatting>
  <conditionalFormatting sqref="AI13">
    <cfRule type="duplicateValues" dxfId="6605" priority="2405"/>
  </conditionalFormatting>
  <conditionalFormatting sqref="AI13">
    <cfRule type="duplicateValues" dxfId="6604" priority="2404"/>
  </conditionalFormatting>
  <conditionalFormatting sqref="AI13">
    <cfRule type="duplicateValues" dxfId="6603" priority="2403"/>
  </conditionalFormatting>
  <conditionalFormatting sqref="AI13">
    <cfRule type="duplicateValues" dxfId="6602" priority="2402"/>
  </conditionalFormatting>
  <conditionalFormatting sqref="AI13">
    <cfRule type="duplicateValues" dxfId="6601" priority="2401"/>
  </conditionalFormatting>
  <conditionalFormatting sqref="AI13">
    <cfRule type="duplicateValues" dxfId="6600" priority="2400"/>
  </conditionalFormatting>
  <conditionalFormatting sqref="AI13">
    <cfRule type="duplicateValues" dxfId="6599" priority="2399"/>
  </conditionalFormatting>
  <conditionalFormatting sqref="AI13">
    <cfRule type="duplicateValues" dxfId="6598" priority="2398"/>
  </conditionalFormatting>
  <conditionalFormatting sqref="AI13">
    <cfRule type="duplicateValues" dxfId="6597" priority="2397"/>
  </conditionalFormatting>
  <conditionalFormatting sqref="AI13">
    <cfRule type="duplicateValues" dxfId="6596" priority="2396"/>
  </conditionalFormatting>
  <conditionalFormatting sqref="AI13">
    <cfRule type="duplicateValues" dxfId="6595" priority="2395"/>
  </conditionalFormatting>
  <conditionalFormatting sqref="AI13">
    <cfRule type="duplicateValues" dxfId="6594" priority="2394"/>
  </conditionalFormatting>
  <conditionalFormatting sqref="AI13">
    <cfRule type="duplicateValues" dxfId="6593" priority="2393"/>
  </conditionalFormatting>
  <conditionalFormatting sqref="AI13">
    <cfRule type="duplicateValues" dxfId="6592" priority="2392"/>
  </conditionalFormatting>
  <conditionalFormatting sqref="AI13">
    <cfRule type="duplicateValues" dxfId="6591" priority="2391"/>
  </conditionalFormatting>
  <conditionalFormatting sqref="AI13">
    <cfRule type="duplicateValues" dxfId="6590" priority="2390"/>
  </conditionalFormatting>
  <conditionalFormatting sqref="AI13">
    <cfRule type="duplicateValues" dxfId="6589" priority="2389"/>
  </conditionalFormatting>
  <conditionalFormatting sqref="AI13">
    <cfRule type="duplicateValues" dxfId="6588" priority="2388"/>
  </conditionalFormatting>
  <conditionalFormatting sqref="AI13">
    <cfRule type="duplicateValues" dxfId="6587" priority="2387"/>
  </conditionalFormatting>
  <conditionalFormatting sqref="AI13">
    <cfRule type="duplicateValues" dxfId="6586" priority="2386"/>
  </conditionalFormatting>
  <conditionalFormatting sqref="AI13">
    <cfRule type="duplicateValues" dxfId="6585" priority="2385"/>
  </conditionalFormatting>
  <conditionalFormatting sqref="AI13">
    <cfRule type="duplicateValues" dxfId="6584" priority="2384"/>
  </conditionalFormatting>
  <conditionalFormatting sqref="AI13">
    <cfRule type="duplicateValues" dxfId="6583" priority="2383"/>
  </conditionalFormatting>
  <conditionalFormatting sqref="AI13">
    <cfRule type="duplicateValues" dxfId="6582" priority="2382"/>
  </conditionalFormatting>
  <conditionalFormatting sqref="AI13">
    <cfRule type="duplicateValues" dxfId="6581" priority="2381"/>
  </conditionalFormatting>
  <conditionalFormatting sqref="AI13">
    <cfRule type="duplicateValues" dxfId="6580" priority="2380"/>
  </conditionalFormatting>
  <conditionalFormatting sqref="AI13">
    <cfRule type="duplicateValues" dxfId="6579" priority="2379"/>
  </conditionalFormatting>
  <conditionalFormatting sqref="AI13">
    <cfRule type="duplicateValues" dxfId="6578" priority="2378"/>
  </conditionalFormatting>
  <conditionalFormatting sqref="AI13">
    <cfRule type="duplicateValues" dxfId="6577" priority="2377"/>
  </conditionalFormatting>
  <conditionalFormatting sqref="AI13">
    <cfRule type="duplicateValues" dxfId="6576" priority="2376"/>
  </conditionalFormatting>
  <conditionalFormatting sqref="AI13">
    <cfRule type="duplicateValues" dxfId="6575" priority="2375"/>
  </conditionalFormatting>
  <conditionalFormatting sqref="AI13">
    <cfRule type="duplicateValues" dxfId="6574" priority="2374"/>
  </conditionalFormatting>
  <conditionalFormatting sqref="AI13">
    <cfRule type="duplicateValues" dxfId="6573" priority="2373"/>
  </conditionalFormatting>
  <conditionalFormatting sqref="AI13">
    <cfRule type="duplicateValues" dxfId="6572" priority="2372"/>
  </conditionalFormatting>
  <conditionalFormatting sqref="AI13">
    <cfRule type="duplicateValues" dxfId="6571" priority="2371"/>
  </conditionalFormatting>
  <conditionalFormatting sqref="AI13">
    <cfRule type="duplicateValues" dxfId="6570" priority="2369" stopIfTrue="1"/>
    <cfRule type="duplicateValues" dxfId="6569" priority="2370"/>
  </conditionalFormatting>
  <conditionalFormatting sqref="AI13">
    <cfRule type="duplicateValues" dxfId="6568" priority="2368"/>
  </conditionalFormatting>
  <conditionalFormatting sqref="AI13">
    <cfRule type="duplicateValues" dxfId="6567" priority="2367"/>
  </conditionalFormatting>
  <conditionalFormatting sqref="AI13">
    <cfRule type="duplicateValues" dxfId="6566" priority="2366"/>
  </conditionalFormatting>
  <conditionalFormatting sqref="AI13">
    <cfRule type="duplicateValues" dxfId="6565" priority="2365"/>
  </conditionalFormatting>
  <conditionalFormatting sqref="AI13">
    <cfRule type="duplicateValues" dxfId="6564" priority="2363" stopIfTrue="1"/>
    <cfRule type="duplicateValues" dxfId="6563" priority="2364"/>
  </conditionalFormatting>
  <conditionalFormatting sqref="AI13">
    <cfRule type="duplicateValues" dxfId="6562" priority="2362"/>
  </conditionalFormatting>
  <conditionalFormatting sqref="AI13">
    <cfRule type="duplicateValues" dxfId="6561" priority="2361"/>
  </conditionalFormatting>
  <conditionalFormatting sqref="AI13">
    <cfRule type="duplicateValues" dxfId="6560" priority="2360"/>
  </conditionalFormatting>
  <conditionalFormatting sqref="AI13">
    <cfRule type="duplicateValues" dxfId="6559" priority="2358" stopIfTrue="1"/>
    <cfRule type="duplicateValues" dxfId="6558" priority="2359"/>
  </conditionalFormatting>
  <conditionalFormatting sqref="AI13">
    <cfRule type="duplicateValues" dxfId="6557" priority="2357"/>
  </conditionalFormatting>
  <conditionalFormatting sqref="AI13">
    <cfRule type="duplicateValues" dxfId="6556" priority="2355" stopIfTrue="1"/>
    <cfRule type="duplicateValues" dxfId="6555" priority="2356"/>
  </conditionalFormatting>
  <conditionalFormatting sqref="AI13">
    <cfRule type="duplicateValues" dxfId="6554" priority="2354"/>
  </conditionalFormatting>
  <conditionalFormatting sqref="AI13">
    <cfRule type="duplicateValues" dxfId="6553" priority="2352" stopIfTrue="1"/>
    <cfRule type="duplicateValues" dxfId="6552" priority="2353"/>
  </conditionalFormatting>
  <conditionalFormatting sqref="AI13">
    <cfRule type="duplicateValues" dxfId="6551" priority="2351"/>
  </conditionalFormatting>
  <conditionalFormatting sqref="AI13">
    <cfRule type="duplicateValues" dxfId="6550" priority="2349" stopIfTrue="1"/>
    <cfRule type="duplicateValues" dxfId="6549" priority="2350"/>
  </conditionalFormatting>
  <conditionalFormatting sqref="AI13">
    <cfRule type="duplicateValues" dxfId="6548" priority="2348"/>
  </conditionalFormatting>
  <conditionalFormatting sqref="AI13">
    <cfRule type="duplicateValues" dxfId="6547" priority="2346" stopIfTrue="1"/>
    <cfRule type="duplicateValues" dxfId="6546" priority="2347"/>
  </conditionalFormatting>
  <conditionalFormatting sqref="AI13">
    <cfRule type="duplicateValues" dxfId="6545" priority="2345"/>
  </conditionalFormatting>
  <conditionalFormatting sqref="AI13">
    <cfRule type="duplicateValues" dxfId="6544" priority="2344"/>
  </conditionalFormatting>
  <conditionalFormatting sqref="AI13">
    <cfRule type="duplicateValues" dxfId="6543" priority="2343"/>
  </conditionalFormatting>
  <conditionalFormatting sqref="AI13">
    <cfRule type="duplicateValues" dxfId="6542" priority="2342"/>
  </conditionalFormatting>
  <conditionalFormatting sqref="AI13">
    <cfRule type="duplicateValues" dxfId="6541" priority="2341"/>
  </conditionalFormatting>
  <conditionalFormatting sqref="AI13">
    <cfRule type="duplicateValues" dxfId="6540" priority="2340"/>
  </conditionalFormatting>
  <conditionalFormatting sqref="AI13">
    <cfRule type="duplicateValues" dxfId="6539" priority="2338" stopIfTrue="1"/>
    <cfRule type="duplicateValues" dxfId="6538" priority="2339"/>
  </conditionalFormatting>
  <conditionalFormatting sqref="AI13">
    <cfRule type="duplicateValues" dxfId="6537" priority="2337"/>
  </conditionalFormatting>
  <conditionalFormatting sqref="AI13">
    <cfRule type="duplicateValues" dxfId="6536" priority="2335" stopIfTrue="1"/>
    <cfRule type="duplicateValues" dxfId="6535" priority="2336"/>
  </conditionalFormatting>
  <conditionalFormatting sqref="AI13">
    <cfRule type="duplicateValues" dxfId="6534" priority="2334"/>
  </conditionalFormatting>
  <conditionalFormatting sqref="AI13">
    <cfRule type="duplicateValues" dxfId="6533" priority="2332" stopIfTrue="1"/>
    <cfRule type="duplicateValues" dxfId="6532" priority="2333"/>
  </conditionalFormatting>
  <conditionalFormatting sqref="AI13">
    <cfRule type="duplicateValues" dxfId="6531" priority="2331"/>
  </conditionalFormatting>
  <conditionalFormatting sqref="AI13">
    <cfRule type="duplicateValues" dxfId="6530" priority="2329" stopIfTrue="1"/>
    <cfRule type="duplicateValues" dxfId="6529" priority="2330"/>
  </conditionalFormatting>
  <conditionalFormatting sqref="AI13">
    <cfRule type="duplicateValues" dxfId="6528" priority="2328"/>
  </conditionalFormatting>
  <conditionalFormatting sqref="AI13">
    <cfRule type="duplicateValues" dxfId="6527" priority="2326" stopIfTrue="1"/>
    <cfRule type="duplicateValues" dxfId="6526" priority="2327"/>
  </conditionalFormatting>
  <conditionalFormatting sqref="AI13">
    <cfRule type="duplicateValues" dxfId="6525" priority="2325"/>
  </conditionalFormatting>
  <conditionalFormatting sqref="AI13">
    <cfRule type="duplicateValues" dxfId="6524" priority="2324"/>
  </conditionalFormatting>
  <conditionalFormatting sqref="AI13">
    <cfRule type="duplicateValues" dxfId="6523" priority="2323"/>
  </conditionalFormatting>
  <conditionalFormatting sqref="AI13">
    <cfRule type="duplicateValues" dxfId="6522" priority="2322"/>
  </conditionalFormatting>
  <conditionalFormatting sqref="AI13">
    <cfRule type="duplicateValues" dxfId="6521" priority="2321"/>
  </conditionalFormatting>
  <conditionalFormatting sqref="AI13">
    <cfRule type="duplicateValues" dxfId="6520" priority="2320"/>
  </conditionalFormatting>
  <conditionalFormatting sqref="AI13">
    <cfRule type="duplicateValues" dxfId="6519" priority="2318" stopIfTrue="1"/>
    <cfRule type="duplicateValues" dxfId="6518" priority="2319"/>
  </conditionalFormatting>
  <conditionalFormatting sqref="AI13">
    <cfRule type="duplicateValues" dxfId="6517" priority="2317"/>
  </conditionalFormatting>
  <conditionalFormatting sqref="AI13">
    <cfRule type="duplicateValues" dxfId="6516" priority="2315" stopIfTrue="1"/>
    <cfRule type="duplicateValues" dxfId="6515" priority="2316"/>
  </conditionalFormatting>
  <conditionalFormatting sqref="AI13">
    <cfRule type="duplicateValues" dxfId="6514" priority="2314"/>
  </conditionalFormatting>
  <conditionalFormatting sqref="AI13">
    <cfRule type="duplicateValues" dxfId="6513" priority="2312" stopIfTrue="1"/>
    <cfRule type="duplicateValues" dxfId="6512" priority="2313"/>
  </conditionalFormatting>
  <conditionalFormatting sqref="AI13">
    <cfRule type="duplicateValues" dxfId="6511" priority="2311"/>
  </conditionalFormatting>
  <conditionalFormatting sqref="AI13">
    <cfRule type="duplicateValues" dxfId="6510" priority="2309" stopIfTrue="1"/>
    <cfRule type="duplicateValues" dxfId="6509" priority="2310"/>
  </conditionalFormatting>
  <conditionalFormatting sqref="AI13">
    <cfRule type="duplicateValues" dxfId="6508" priority="2308"/>
  </conditionalFormatting>
  <conditionalFormatting sqref="AI13">
    <cfRule type="duplicateValues" dxfId="6507" priority="2306" stopIfTrue="1"/>
    <cfRule type="duplicateValues" dxfId="6506" priority="2307"/>
  </conditionalFormatting>
  <conditionalFormatting sqref="AI13">
    <cfRule type="duplicateValues" dxfId="6505" priority="2305"/>
  </conditionalFormatting>
  <conditionalFormatting sqref="AI13">
    <cfRule type="duplicateValues" dxfId="6504" priority="2304"/>
  </conditionalFormatting>
  <conditionalFormatting sqref="AI13">
    <cfRule type="duplicateValues" dxfId="6503" priority="2303"/>
  </conditionalFormatting>
  <conditionalFormatting sqref="AI13">
    <cfRule type="duplicateValues" dxfId="6502" priority="2302"/>
  </conditionalFormatting>
  <conditionalFormatting sqref="AI13">
    <cfRule type="duplicateValues" dxfId="6501" priority="2301"/>
  </conditionalFormatting>
  <conditionalFormatting sqref="AI13">
    <cfRule type="duplicateValues" dxfId="6500" priority="2300"/>
  </conditionalFormatting>
  <conditionalFormatting sqref="AI13">
    <cfRule type="duplicateValues" dxfId="6499" priority="2299"/>
  </conditionalFormatting>
  <conditionalFormatting sqref="AI13">
    <cfRule type="duplicateValues" dxfId="6498" priority="2298"/>
  </conditionalFormatting>
  <conditionalFormatting sqref="AI13">
    <cfRule type="duplicateValues" dxfId="6497" priority="2297"/>
  </conditionalFormatting>
  <conditionalFormatting sqref="AI13">
    <cfRule type="duplicateValues" dxfId="6496" priority="2296"/>
  </conditionalFormatting>
  <conditionalFormatting sqref="AI13">
    <cfRule type="duplicateValues" dxfId="6495" priority="2295"/>
  </conditionalFormatting>
  <conditionalFormatting sqref="AI13">
    <cfRule type="duplicateValues" dxfId="6494" priority="2294"/>
  </conditionalFormatting>
  <conditionalFormatting sqref="AI13">
    <cfRule type="duplicateValues" dxfId="6493" priority="2293"/>
  </conditionalFormatting>
  <conditionalFormatting sqref="AI13">
    <cfRule type="duplicateValues" dxfId="6492" priority="2292"/>
  </conditionalFormatting>
  <conditionalFormatting sqref="AI13">
    <cfRule type="duplicateValues" dxfId="6491" priority="2291"/>
  </conditionalFormatting>
  <conditionalFormatting sqref="AI13">
    <cfRule type="duplicateValues" dxfId="6490" priority="2290"/>
  </conditionalFormatting>
  <conditionalFormatting sqref="AI13">
    <cfRule type="duplicateValues" dxfId="6489" priority="2289"/>
  </conditionalFormatting>
  <conditionalFormatting sqref="AI13">
    <cfRule type="duplicateValues" dxfId="6488" priority="2288"/>
  </conditionalFormatting>
  <conditionalFormatting sqref="AI13">
    <cfRule type="duplicateValues" dxfId="6487" priority="2287"/>
  </conditionalFormatting>
  <conditionalFormatting sqref="AI13">
    <cfRule type="duplicateValues" dxfId="6486" priority="2286"/>
  </conditionalFormatting>
  <conditionalFormatting sqref="AI13">
    <cfRule type="duplicateValues" dxfId="6485" priority="2285"/>
  </conditionalFormatting>
  <conditionalFormatting sqref="AI13">
    <cfRule type="duplicateValues" dxfId="6484" priority="2284"/>
  </conditionalFormatting>
  <conditionalFormatting sqref="AI13">
    <cfRule type="duplicateValues" dxfId="6483" priority="2283"/>
  </conditionalFormatting>
  <conditionalFormatting sqref="AI13">
    <cfRule type="duplicateValues" dxfId="6482" priority="2282"/>
  </conditionalFormatting>
  <conditionalFormatting sqref="AI13">
    <cfRule type="duplicateValues" dxfId="6481" priority="2281"/>
  </conditionalFormatting>
  <conditionalFormatting sqref="AI13">
    <cfRule type="duplicateValues" dxfId="6480" priority="2280"/>
  </conditionalFormatting>
  <conditionalFormatting sqref="AI13">
    <cfRule type="duplicateValues" dxfId="6479" priority="2279"/>
  </conditionalFormatting>
  <conditionalFormatting sqref="AI13">
    <cfRule type="duplicateValues" dxfId="6478" priority="2278"/>
  </conditionalFormatting>
  <conditionalFormatting sqref="AI13">
    <cfRule type="duplicateValues" dxfId="6477" priority="2277"/>
  </conditionalFormatting>
  <conditionalFormatting sqref="AI13">
    <cfRule type="duplicateValues" dxfId="6476" priority="2276"/>
  </conditionalFormatting>
  <conditionalFormatting sqref="AI13">
    <cfRule type="duplicateValues" dxfId="6475" priority="2275"/>
  </conditionalFormatting>
  <conditionalFormatting sqref="AI13">
    <cfRule type="duplicateValues" dxfId="6474" priority="2274"/>
  </conditionalFormatting>
  <conditionalFormatting sqref="AI13">
    <cfRule type="duplicateValues" dxfId="6473" priority="2273"/>
  </conditionalFormatting>
  <conditionalFormatting sqref="AI13">
    <cfRule type="duplicateValues" dxfId="6472" priority="2272"/>
  </conditionalFormatting>
  <conditionalFormatting sqref="AI13">
    <cfRule type="duplicateValues" dxfId="6471" priority="2271"/>
  </conditionalFormatting>
  <conditionalFormatting sqref="AI13">
    <cfRule type="duplicateValues" dxfId="6470" priority="2270"/>
  </conditionalFormatting>
  <conditionalFormatting sqref="AI13">
    <cfRule type="duplicateValues" dxfId="6469" priority="2269"/>
  </conditionalFormatting>
  <conditionalFormatting sqref="AI13">
    <cfRule type="duplicateValues" dxfId="6468" priority="2268"/>
  </conditionalFormatting>
  <conditionalFormatting sqref="AI13">
    <cfRule type="duplicateValues" dxfId="6467" priority="2267"/>
  </conditionalFormatting>
  <conditionalFormatting sqref="AI13">
    <cfRule type="duplicateValues" dxfId="6466" priority="2266"/>
  </conditionalFormatting>
  <conditionalFormatting sqref="AI13">
    <cfRule type="duplicateValues" dxfId="6465" priority="2264" stopIfTrue="1"/>
    <cfRule type="duplicateValues" dxfId="6464" priority="2265"/>
  </conditionalFormatting>
  <conditionalFormatting sqref="AI13">
    <cfRule type="duplicateValues" dxfId="6463" priority="2263"/>
  </conditionalFormatting>
  <conditionalFormatting sqref="AI13">
    <cfRule type="duplicateValues" dxfId="6462" priority="2262"/>
  </conditionalFormatting>
  <conditionalFormatting sqref="AI13">
    <cfRule type="duplicateValues" dxfId="6461" priority="2261"/>
  </conditionalFormatting>
  <conditionalFormatting sqref="AI13">
    <cfRule type="duplicateValues" dxfId="6460" priority="2260"/>
  </conditionalFormatting>
  <conditionalFormatting sqref="AI13">
    <cfRule type="duplicateValues" dxfId="6459" priority="2258" stopIfTrue="1"/>
    <cfRule type="duplicateValues" dxfId="6458" priority="2259"/>
  </conditionalFormatting>
  <conditionalFormatting sqref="AI13">
    <cfRule type="duplicateValues" dxfId="6457" priority="2257"/>
  </conditionalFormatting>
  <conditionalFormatting sqref="AI13">
    <cfRule type="duplicateValues" dxfId="6456" priority="2255" stopIfTrue="1"/>
    <cfRule type="duplicateValues" dxfId="6455" priority="2256"/>
  </conditionalFormatting>
  <conditionalFormatting sqref="AI13">
    <cfRule type="duplicateValues" dxfId="6454" priority="2254"/>
  </conditionalFormatting>
  <conditionalFormatting sqref="AI13">
    <cfRule type="duplicateValues" dxfId="6453" priority="2252" stopIfTrue="1"/>
    <cfRule type="duplicateValues" dxfId="6452" priority="2253"/>
  </conditionalFormatting>
  <conditionalFormatting sqref="AI13">
    <cfRule type="duplicateValues" dxfId="6451" priority="2251"/>
  </conditionalFormatting>
  <conditionalFormatting sqref="AI13">
    <cfRule type="duplicateValues" dxfId="6450" priority="2249" stopIfTrue="1"/>
    <cfRule type="duplicateValues" dxfId="6449" priority="2250"/>
  </conditionalFormatting>
  <conditionalFormatting sqref="AI13">
    <cfRule type="duplicateValues" dxfId="6448" priority="2248"/>
  </conditionalFormatting>
  <conditionalFormatting sqref="AI13">
    <cfRule type="duplicateValues" dxfId="6447" priority="2246" stopIfTrue="1"/>
    <cfRule type="duplicateValues" dxfId="6446" priority="2247"/>
  </conditionalFormatting>
  <conditionalFormatting sqref="AI13">
    <cfRule type="duplicateValues" dxfId="6445" priority="2245"/>
  </conditionalFormatting>
  <conditionalFormatting sqref="AI13">
    <cfRule type="duplicateValues" dxfId="6444" priority="2244"/>
  </conditionalFormatting>
  <conditionalFormatting sqref="AI13">
    <cfRule type="duplicateValues" dxfId="6443" priority="2243"/>
  </conditionalFormatting>
  <conditionalFormatting sqref="AI13">
    <cfRule type="duplicateValues" dxfId="6442" priority="2242"/>
  </conditionalFormatting>
  <conditionalFormatting sqref="AI13">
    <cfRule type="duplicateValues" dxfId="6441" priority="2241"/>
  </conditionalFormatting>
  <conditionalFormatting sqref="AI13">
    <cfRule type="duplicateValues" dxfId="6440" priority="2240"/>
  </conditionalFormatting>
  <conditionalFormatting sqref="AI13">
    <cfRule type="duplicateValues" dxfId="6439" priority="2238" stopIfTrue="1"/>
    <cfRule type="duplicateValues" dxfId="6438" priority="2239"/>
  </conditionalFormatting>
  <conditionalFormatting sqref="AI13">
    <cfRule type="duplicateValues" dxfId="6437" priority="2237"/>
  </conditionalFormatting>
  <conditionalFormatting sqref="AI13">
    <cfRule type="duplicateValues" dxfId="6436" priority="2235" stopIfTrue="1"/>
    <cfRule type="duplicateValues" dxfId="6435" priority="2236"/>
  </conditionalFormatting>
  <conditionalFormatting sqref="AI13">
    <cfRule type="duplicateValues" dxfId="6434" priority="2234"/>
  </conditionalFormatting>
  <conditionalFormatting sqref="AI13">
    <cfRule type="duplicateValues" dxfId="6433" priority="2232" stopIfTrue="1"/>
    <cfRule type="duplicateValues" dxfId="6432" priority="2233"/>
  </conditionalFormatting>
  <conditionalFormatting sqref="AI13">
    <cfRule type="duplicateValues" dxfId="6431" priority="2231"/>
  </conditionalFormatting>
  <conditionalFormatting sqref="AI13">
    <cfRule type="duplicateValues" dxfId="6430" priority="2229" stopIfTrue="1"/>
    <cfRule type="duplicateValues" dxfId="6429" priority="2230"/>
  </conditionalFormatting>
  <conditionalFormatting sqref="AI13">
    <cfRule type="duplicateValues" dxfId="6428" priority="2228"/>
  </conditionalFormatting>
  <conditionalFormatting sqref="AI13">
    <cfRule type="duplicateValues" dxfId="6427" priority="2226" stopIfTrue="1"/>
    <cfRule type="duplicateValues" dxfId="6426" priority="2227"/>
  </conditionalFormatting>
  <conditionalFormatting sqref="AI13">
    <cfRule type="duplicateValues" dxfId="6425" priority="2225"/>
  </conditionalFormatting>
  <conditionalFormatting sqref="AI13">
    <cfRule type="duplicateValues" dxfId="6424" priority="2224"/>
  </conditionalFormatting>
  <conditionalFormatting sqref="AI13">
    <cfRule type="duplicateValues" dxfId="6423" priority="2223"/>
  </conditionalFormatting>
  <conditionalFormatting sqref="AI13">
    <cfRule type="duplicateValues" dxfId="6422" priority="2222"/>
  </conditionalFormatting>
  <conditionalFormatting sqref="AI13">
    <cfRule type="duplicateValues" dxfId="6421" priority="2221"/>
  </conditionalFormatting>
  <conditionalFormatting sqref="AI13">
    <cfRule type="duplicateValues" dxfId="6420" priority="2220"/>
  </conditionalFormatting>
  <conditionalFormatting sqref="AI13">
    <cfRule type="duplicateValues" dxfId="6419" priority="2219"/>
  </conditionalFormatting>
  <conditionalFormatting sqref="AI13">
    <cfRule type="duplicateValues" dxfId="6418" priority="2218"/>
  </conditionalFormatting>
  <conditionalFormatting sqref="AI13">
    <cfRule type="duplicateValues" dxfId="6417" priority="2217"/>
  </conditionalFormatting>
  <conditionalFormatting sqref="AI13">
    <cfRule type="duplicateValues" dxfId="6416" priority="2216"/>
  </conditionalFormatting>
  <conditionalFormatting sqref="AI13">
    <cfRule type="duplicateValues" dxfId="6415" priority="2215"/>
  </conditionalFormatting>
  <conditionalFormatting sqref="AI13">
    <cfRule type="duplicateValues" dxfId="6414" priority="2214"/>
  </conditionalFormatting>
  <conditionalFormatting sqref="AI13">
    <cfRule type="duplicateValues" dxfId="6413" priority="2213"/>
  </conditionalFormatting>
  <conditionalFormatting sqref="AI13">
    <cfRule type="duplicateValues" dxfId="6412" priority="2212"/>
  </conditionalFormatting>
  <conditionalFormatting sqref="AI13">
    <cfRule type="duplicateValues" dxfId="6411" priority="2211"/>
  </conditionalFormatting>
  <conditionalFormatting sqref="AI13">
    <cfRule type="duplicateValues" dxfId="6410" priority="2210"/>
  </conditionalFormatting>
  <conditionalFormatting sqref="AI13">
    <cfRule type="duplicateValues" dxfId="6409" priority="2209"/>
  </conditionalFormatting>
  <conditionalFormatting sqref="AI13">
    <cfRule type="duplicateValues" dxfId="6408" priority="2208"/>
  </conditionalFormatting>
  <conditionalFormatting sqref="AI13">
    <cfRule type="duplicateValues" dxfId="6407" priority="2207"/>
  </conditionalFormatting>
  <conditionalFormatting sqref="AI13">
    <cfRule type="duplicateValues" dxfId="6406" priority="2206"/>
  </conditionalFormatting>
  <conditionalFormatting sqref="AI13">
    <cfRule type="duplicateValues" dxfId="6405" priority="2205"/>
  </conditionalFormatting>
  <conditionalFormatting sqref="AI13">
    <cfRule type="duplicateValues" dxfId="6404" priority="2204"/>
  </conditionalFormatting>
  <conditionalFormatting sqref="AI13">
    <cfRule type="duplicateValues" dxfId="6403" priority="2203"/>
  </conditionalFormatting>
  <conditionalFormatting sqref="AI13">
    <cfRule type="duplicateValues" dxfId="6402" priority="2202"/>
  </conditionalFormatting>
  <conditionalFormatting sqref="AI13">
    <cfRule type="duplicateValues" dxfId="6401" priority="2201"/>
  </conditionalFormatting>
  <conditionalFormatting sqref="AI13">
    <cfRule type="duplicateValues" dxfId="6400" priority="2200"/>
  </conditionalFormatting>
  <conditionalFormatting sqref="AI13">
    <cfRule type="duplicateValues" dxfId="6399" priority="2199"/>
  </conditionalFormatting>
  <conditionalFormatting sqref="AI13">
    <cfRule type="duplicateValues" dxfId="6398" priority="2198"/>
  </conditionalFormatting>
  <conditionalFormatting sqref="AI13">
    <cfRule type="duplicateValues" dxfId="6397" priority="2197"/>
  </conditionalFormatting>
  <conditionalFormatting sqref="AI13">
    <cfRule type="duplicateValues" dxfId="6396" priority="2196"/>
  </conditionalFormatting>
  <conditionalFormatting sqref="AI13">
    <cfRule type="duplicateValues" dxfId="6395" priority="2195"/>
  </conditionalFormatting>
  <conditionalFormatting sqref="AI13">
    <cfRule type="duplicateValues" dxfId="6394" priority="2194"/>
  </conditionalFormatting>
  <conditionalFormatting sqref="AI13">
    <cfRule type="duplicateValues" dxfId="6393" priority="2193"/>
  </conditionalFormatting>
  <conditionalFormatting sqref="AI13">
    <cfRule type="duplicateValues" dxfId="6392" priority="2192"/>
  </conditionalFormatting>
  <conditionalFormatting sqref="AI13">
    <cfRule type="duplicateValues" dxfId="6391" priority="2191"/>
  </conditionalFormatting>
  <conditionalFormatting sqref="AI13">
    <cfRule type="duplicateValues" dxfId="6390" priority="2190"/>
  </conditionalFormatting>
  <conditionalFormatting sqref="AI13">
    <cfRule type="duplicateValues" dxfId="6389" priority="2189"/>
  </conditionalFormatting>
  <conditionalFormatting sqref="AI13">
    <cfRule type="duplicateValues" dxfId="6388" priority="2188"/>
  </conditionalFormatting>
  <conditionalFormatting sqref="AI13">
    <cfRule type="duplicateValues" dxfId="6387" priority="2187"/>
  </conditionalFormatting>
  <conditionalFormatting sqref="AI13">
    <cfRule type="duplicateValues" dxfId="6386" priority="2186"/>
  </conditionalFormatting>
  <conditionalFormatting sqref="AI13">
    <cfRule type="duplicateValues" dxfId="6385" priority="2184" stopIfTrue="1"/>
    <cfRule type="duplicateValues" dxfId="6384" priority="2185"/>
  </conditionalFormatting>
  <conditionalFormatting sqref="AI13">
    <cfRule type="duplicateValues" dxfId="6383" priority="2183"/>
  </conditionalFormatting>
  <conditionalFormatting sqref="AI13">
    <cfRule type="duplicateValues" dxfId="6382" priority="2182"/>
  </conditionalFormatting>
  <conditionalFormatting sqref="AI13">
    <cfRule type="duplicateValues" dxfId="6381" priority="2181"/>
  </conditionalFormatting>
  <conditionalFormatting sqref="AI13">
    <cfRule type="duplicateValues" dxfId="6380" priority="2180"/>
  </conditionalFormatting>
  <conditionalFormatting sqref="AI13">
    <cfRule type="duplicateValues" dxfId="6379" priority="2178" stopIfTrue="1"/>
    <cfRule type="duplicateValues" dxfId="6378" priority="2179"/>
  </conditionalFormatting>
  <conditionalFormatting sqref="AI13">
    <cfRule type="duplicateValues" dxfId="6377" priority="2177"/>
  </conditionalFormatting>
  <conditionalFormatting sqref="AI13">
    <cfRule type="duplicateValues" dxfId="6376" priority="2175" stopIfTrue="1"/>
    <cfRule type="duplicateValues" dxfId="6375" priority="2176"/>
  </conditionalFormatting>
  <conditionalFormatting sqref="AI13">
    <cfRule type="duplicateValues" dxfId="6374" priority="2174"/>
  </conditionalFormatting>
  <conditionalFormatting sqref="AI13">
    <cfRule type="duplicateValues" dxfId="6373" priority="2172" stopIfTrue="1"/>
    <cfRule type="duplicateValues" dxfId="6372" priority="2173"/>
  </conditionalFormatting>
  <conditionalFormatting sqref="AI13">
    <cfRule type="duplicateValues" dxfId="6371" priority="2171"/>
  </conditionalFormatting>
  <conditionalFormatting sqref="AI13">
    <cfRule type="duplicateValues" dxfId="6370" priority="2169" stopIfTrue="1"/>
    <cfRule type="duplicateValues" dxfId="6369" priority="2170"/>
  </conditionalFormatting>
  <conditionalFormatting sqref="AI13">
    <cfRule type="duplicateValues" dxfId="6368" priority="2168"/>
  </conditionalFormatting>
  <conditionalFormatting sqref="AI13">
    <cfRule type="duplicateValues" dxfId="6367" priority="2166" stopIfTrue="1"/>
    <cfRule type="duplicateValues" dxfId="6366" priority="2167"/>
  </conditionalFormatting>
  <conditionalFormatting sqref="AI13">
    <cfRule type="duplicateValues" dxfId="6365" priority="2165"/>
  </conditionalFormatting>
  <conditionalFormatting sqref="AI13">
    <cfRule type="duplicateValues" dxfId="6364" priority="2164"/>
  </conditionalFormatting>
  <conditionalFormatting sqref="AI13">
    <cfRule type="duplicateValues" dxfId="6363" priority="2163"/>
  </conditionalFormatting>
  <conditionalFormatting sqref="AI13">
    <cfRule type="duplicateValues" dxfId="6362" priority="2162"/>
  </conditionalFormatting>
  <conditionalFormatting sqref="AI13">
    <cfRule type="duplicateValues" dxfId="6361" priority="2161"/>
  </conditionalFormatting>
  <conditionalFormatting sqref="AI13">
    <cfRule type="duplicateValues" dxfId="6360" priority="2160"/>
  </conditionalFormatting>
  <conditionalFormatting sqref="AI13">
    <cfRule type="duplicateValues" dxfId="6359" priority="2159"/>
  </conditionalFormatting>
  <conditionalFormatting sqref="AI13">
    <cfRule type="duplicateValues" dxfId="6358" priority="2158"/>
  </conditionalFormatting>
  <conditionalFormatting sqref="AI13">
    <cfRule type="duplicateValues" dxfId="6357" priority="2157"/>
  </conditionalFormatting>
  <conditionalFormatting sqref="AI13">
    <cfRule type="duplicateValues" dxfId="6356" priority="2156"/>
  </conditionalFormatting>
  <conditionalFormatting sqref="AI13">
    <cfRule type="duplicateValues" dxfId="6355" priority="2155"/>
  </conditionalFormatting>
  <conditionalFormatting sqref="AI13">
    <cfRule type="duplicateValues" dxfId="6354" priority="2154"/>
  </conditionalFormatting>
  <conditionalFormatting sqref="AI13">
    <cfRule type="duplicateValues" dxfId="6353" priority="2153"/>
  </conditionalFormatting>
  <conditionalFormatting sqref="AI13">
    <cfRule type="duplicateValues" dxfId="6352" priority="2152"/>
  </conditionalFormatting>
  <conditionalFormatting sqref="AI13">
    <cfRule type="duplicateValues" dxfId="6351" priority="2151"/>
  </conditionalFormatting>
  <conditionalFormatting sqref="AI13">
    <cfRule type="duplicateValues" dxfId="6350" priority="2150"/>
  </conditionalFormatting>
  <conditionalFormatting sqref="AI13">
    <cfRule type="duplicateValues" dxfId="6349" priority="2149"/>
  </conditionalFormatting>
  <conditionalFormatting sqref="AI13">
    <cfRule type="duplicateValues" dxfId="6348" priority="2148"/>
  </conditionalFormatting>
  <conditionalFormatting sqref="AI13">
    <cfRule type="duplicateValues" dxfId="6347" priority="2147"/>
  </conditionalFormatting>
  <conditionalFormatting sqref="AI13">
    <cfRule type="duplicateValues" dxfId="6346" priority="2146"/>
  </conditionalFormatting>
  <conditionalFormatting sqref="AI13">
    <cfRule type="duplicateValues" dxfId="6345" priority="2145"/>
  </conditionalFormatting>
  <conditionalFormatting sqref="AI13">
    <cfRule type="duplicateValues" dxfId="6344" priority="2144"/>
  </conditionalFormatting>
  <conditionalFormatting sqref="AI13">
    <cfRule type="duplicateValues" dxfId="6343" priority="2143"/>
  </conditionalFormatting>
  <conditionalFormatting sqref="AI13">
    <cfRule type="duplicateValues" dxfId="6342" priority="2142"/>
  </conditionalFormatting>
  <conditionalFormatting sqref="AI13">
    <cfRule type="duplicateValues" dxfId="6341" priority="2141"/>
  </conditionalFormatting>
  <conditionalFormatting sqref="AI13">
    <cfRule type="duplicateValues" dxfId="6340" priority="2140"/>
  </conditionalFormatting>
  <conditionalFormatting sqref="AI13">
    <cfRule type="duplicateValues" dxfId="6339" priority="2139"/>
  </conditionalFormatting>
  <conditionalFormatting sqref="AI13">
    <cfRule type="duplicateValues" dxfId="6338" priority="2138"/>
  </conditionalFormatting>
  <conditionalFormatting sqref="AI13">
    <cfRule type="duplicateValues" dxfId="6337" priority="2137"/>
  </conditionalFormatting>
  <conditionalFormatting sqref="AI13">
    <cfRule type="duplicateValues" dxfId="6336" priority="2136"/>
  </conditionalFormatting>
  <conditionalFormatting sqref="AI13">
    <cfRule type="duplicateValues" dxfId="6335" priority="2135"/>
  </conditionalFormatting>
  <conditionalFormatting sqref="AI13">
    <cfRule type="duplicateValues" dxfId="6334" priority="2134"/>
  </conditionalFormatting>
  <conditionalFormatting sqref="AI13">
    <cfRule type="duplicateValues" dxfId="6333" priority="2133"/>
  </conditionalFormatting>
  <conditionalFormatting sqref="AI13">
    <cfRule type="duplicateValues" dxfId="6332" priority="2132"/>
  </conditionalFormatting>
  <conditionalFormatting sqref="AI13">
    <cfRule type="duplicateValues" dxfId="6331" priority="2131"/>
  </conditionalFormatting>
  <conditionalFormatting sqref="AI13">
    <cfRule type="duplicateValues" dxfId="6330" priority="2130"/>
  </conditionalFormatting>
  <conditionalFormatting sqref="AI13">
    <cfRule type="duplicateValues" dxfId="6329" priority="2129"/>
  </conditionalFormatting>
  <conditionalFormatting sqref="AI13">
    <cfRule type="duplicateValues" dxfId="6328" priority="2128"/>
  </conditionalFormatting>
  <conditionalFormatting sqref="AI13">
    <cfRule type="duplicateValues" dxfId="6327" priority="2127"/>
  </conditionalFormatting>
  <conditionalFormatting sqref="AI13">
    <cfRule type="duplicateValues" dxfId="6326" priority="2126"/>
  </conditionalFormatting>
  <conditionalFormatting sqref="AI13">
    <cfRule type="duplicateValues" dxfId="6325" priority="2124" stopIfTrue="1"/>
    <cfRule type="duplicateValues" dxfId="6324" priority="2125"/>
  </conditionalFormatting>
  <conditionalFormatting sqref="AI13">
    <cfRule type="duplicateValues" dxfId="6323" priority="2123"/>
  </conditionalFormatting>
  <conditionalFormatting sqref="AI13">
    <cfRule type="duplicateValues" dxfId="6322" priority="2122"/>
  </conditionalFormatting>
  <conditionalFormatting sqref="AI13">
    <cfRule type="duplicateValues" dxfId="6321" priority="2121"/>
  </conditionalFormatting>
  <conditionalFormatting sqref="AI13">
    <cfRule type="duplicateValues" dxfId="6320" priority="2120"/>
  </conditionalFormatting>
  <conditionalFormatting sqref="AI13">
    <cfRule type="duplicateValues" dxfId="6319" priority="2118" stopIfTrue="1"/>
    <cfRule type="duplicateValues" dxfId="6318" priority="2119"/>
  </conditionalFormatting>
  <conditionalFormatting sqref="AI13">
    <cfRule type="duplicateValues" dxfId="6317" priority="2117"/>
  </conditionalFormatting>
  <conditionalFormatting sqref="AI13">
    <cfRule type="duplicateValues" dxfId="6316" priority="2116"/>
  </conditionalFormatting>
  <conditionalFormatting sqref="AI13">
    <cfRule type="duplicateValues" dxfId="6315" priority="2115"/>
  </conditionalFormatting>
  <conditionalFormatting sqref="AI13">
    <cfRule type="duplicateValues" dxfId="6314" priority="2113" stopIfTrue="1"/>
    <cfRule type="duplicateValues" dxfId="6313" priority="2114"/>
  </conditionalFormatting>
  <conditionalFormatting sqref="AI13">
    <cfRule type="duplicateValues" dxfId="6312" priority="2112"/>
  </conditionalFormatting>
  <conditionalFormatting sqref="AI13">
    <cfRule type="duplicateValues" dxfId="6311" priority="2110" stopIfTrue="1"/>
    <cfRule type="duplicateValues" dxfId="6310" priority="2111"/>
  </conditionalFormatting>
  <conditionalFormatting sqref="AI13">
    <cfRule type="duplicateValues" dxfId="6309" priority="2109"/>
  </conditionalFormatting>
  <conditionalFormatting sqref="AI13">
    <cfRule type="duplicateValues" dxfId="6308" priority="2107" stopIfTrue="1"/>
    <cfRule type="duplicateValues" dxfId="6307" priority="2108"/>
  </conditionalFormatting>
  <conditionalFormatting sqref="AI13">
    <cfRule type="duplicateValues" dxfId="6306" priority="2106"/>
  </conditionalFormatting>
  <conditionalFormatting sqref="AI13">
    <cfRule type="duplicateValues" dxfId="6305" priority="2104" stopIfTrue="1"/>
    <cfRule type="duplicateValues" dxfId="6304" priority="2105"/>
  </conditionalFormatting>
  <conditionalFormatting sqref="AI13">
    <cfRule type="duplicateValues" dxfId="6303" priority="2103"/>
  </conditionalFormatting>
  <conditionalFormatting sqref="AI13">
    <cfRule type="duplicateValues" dxfId="6302" priority="2101" stopIfTrue="1"/>
    <cfRule type="duplicateValues" dxfId="6301" priority="2102"/>
  </conditionalFormatting>
  <conditionalFormatting sqref="AI13">
    <cfRule type="duplicateValues" dxfId="6300" priority="2100"/>
  </conditionalFormatting>
  <conditionalFormatting sqref="AI13">
    <cfRule type="duplicateValues" dxfId="6299" priority="2099"/>
  </conditionalFormatting>
  <conditionalFormatting sqref="AI13">
    <cfRule type="duplicateValues" dxfId="6298" priority="2098"/>
  </conditionalFormatting>
  <conditionalFormatting sqref="AI13">
    <cfRule type="duplicateValues" dxfId="6297" priority="2097"/>
  </conditionalFormatting>
  <conditionalFormatting sqref="AI13">
    <cfRule type="duplicateValues" dxfId="6296" priority="2096"/>
  </conditionalFormatting>
  <conditionalFormatting sqref="AI13">
    <cfRule type="duplicateValues" dxfId="6295" priority="2095"/>
  </conditionalFormatting>
  <conditionalFormatting sqref="AI13">
    <cfRule type="duplicateValues" dxfId="6294" priority="2093" stopIfTrue="1"/>
    <cfRule type="duplicateValues" dxfId="6293" priority="2094"/>
  </conditionalFormatting>
  <conditionalFormatting sqref="AI13">
    <cfRule type="duplicateValues" dxfId="6292" priority="2092"/>
  </conditionalFormatting>
  <conditionalFormatting sqref="AI13">
    <cfRule type="duplicateValues" dxfId="6291" priority="2090" stopIfTrue="1"/>
    <cfRule type="duplicateValues" dxfId="6290" priority="2091"/>
  </conditionalFormatting>
  <conditionalFormatting sqref="AI13">
    <cfRule type="duplicateValues" dxfId="6289" priority="2089"/>
  </conditionalFormatting>
  <conditionalFormatting sqref="AI13">
    <cfRule type="duplicateValues" dxfId="6288" priority="2087" stopIfTrue="1"/>
    <cfRule type="duplicateValues" dxfId="6287" priority="2088"/>
  </conditionalFormatting>
  <conditionalFormatting sqref="AI13">
    <cfRule type="duplicateValues" dxfId="6286" priority="2086"/>
  </conditionalFormatting>
  <conditionalFormatting sqref="AI13">
    <cfRule type="duplicateValues" dxfId="6285" priority="2084" stopIfTrue="1"/>
    <cfRule type="duplicateValues" dxfId="6284" priority="2085"/>
  </conditionalFormatting>
  <conditionalFormatting sqref="AI13">
    <cfRule type="duplicateValues" dxfId="6283" priority="2083"/>
  </conditionalFormatting>
  <conditionalFormatting sqref="AI13">
    <cfRule type="duplicateValues" dxfId="6282" priority="2081" stopIfTrue="1"/>
    <cfRule type="duplicateValues" dxfId="6281" priority="2082"/>
  </conditionalFormatting>
  <conditionalFormatting sqref="AI13">
    <cfRule type="duplicateValues" dxfId="6280" priority="2080"/>
  </conditionalFormatting>
  <conditionalFormatting sqref="AI13">
    <cfRule type="duplicateValues" dxfId="6279" priority="2079"/>
  </conditionalFormatting>
  <conditionalFormatting sqref="AI13">
    <cfRule type="duplicateValues" dxfId="6278" priority="2078"/>
  </conditionalFormatting>
  <conditionalFormatting sqref="AI13">
    <cfRule type="duplicateValues" dxfId="6277" priority="2077"/>
  </conditionalFormatting>
  <conditionalFormatting sqref="AI13">
    <cfRule type="duplicateValues" dxfId="6276" priority="2076"/>
  </conditionalFormatting>
  <conditionalFormatting sqref="AI13">
    <cfRule type="duplicateValues" dxfId="6275" priority="2075"/>
  </conditionalFormatting>
  <conditionalFormatting sqref="AI13">
    <cfRule type="duplicateValues" dxfId="6274" priority="2074"/>
  </conditionalFormatting>
  <conditionalFormatting sqref="AI13">
    <cfRule type="duplicateValues" dxfId="6273" priority="2073"/>
  </conditionalFormatting>
  <conditionalFormatting sqref="AI13">
    <cfRule type="duplicateValues" dxfId="6272" priority="2072"/>
  </conditionalFormatting>
  <conditionalFormatting sqref="AI13">
    <cfRule type="duplicateValues" dxfId="6271" priority="2071"/>
  </conditionalFormatting>
  <conditionalFormatting sqref="AI13">
    <cfRule type="duplicateValues" dxfId="6270" priority="2070"/>
  </conditionalFormatting>
  <conditionalFormatting sqref="AI13">
    <cfRule type="duplicateValues" dxfId="6269" priority="2069"/>
  </conditionalFormatting>
  <conditionalFormatting sqref="AI13">
    <cfRule type="duplicateValues" dxfId="6268" priority="2068"/>
  </conditionalFormatting>
  <conditionalFormatting sqref="AI13">
    <cfRule type="duplicateValues" dxfId="6267" priority="2067"/>
  </conditionalFormatting>
  <conditionalFormatting sqref="AI13">
    <cfRule type="duplicateValues" dxfId="6266" priority="2066"/>
  </conditionalFormatting>
  <conditionalFormatting sqref="AI13">
    <cfRule type="duplicateValues" dxfId="6265" priority="2065"/>
  </conditionalFormatting>
  <conditionalFormatting sqref="AI13">
    <cfRule type="duplicateValues" dxfId="6264" priority="2064"/>
  </conditionalFormatting>
  <conditionalFormatting sqref="AI13">
    <cfRule type="duplicateValues" dxfId="6263" priority="2063"/>
  </conditionalFormatting>
  <conditionalFormatting sqref="AI13">
    <cfRule type="duplicateValues" dxfId="6262" priority="2062"/>
  </conditionalFormatting>
  <conditionalFormatting sqref="AI13">
    <cfRule type="duplicateValues" dxfId="6261" priority="2061"/>
  </conditionalFormatting>
  <conditionalFormatting sqref="AI13">
    <cfRule type="duplicateValues" dxfId="6260" priority="2060"/>
  </conditionalFormatting>
  <conditionalFormatting sqref="AI13">
    <cfRule type="duplicateValues" dxfId="6259" priority="2059"/>
  </conditionalFormatting>
  <conditionalFormatting sqref="AI13">
    <cfRule type="duplicateValues" dxfId="6258" priority="2058"/>
  </conditionalFormatting>
  <conditionalFormatting sqref="AI13">
    <cfRule type="duplicateValues" dxfId="6257" priority="2057"/>
  </conditionalFormatting>
  <conditionalFormatting sqref="AI13">
    <cfRule type="duplicateValues" dxfId="6256" priority="2056"/>
  </conditionalFormatting>
  <conditionalFormatting sqref="AI13">
    <cfRule type="duplicateValues" dxfId="6255" priority="2055"/>
  </conditionalFormatting>
  <conditionalFormatting sqref="AI13">
    <cfRule type="duplicateValues" dxfId="6254" priority="2054"/>
  </conditionalFormatting>
  <conditionalFormatting sqref="AI13">
    <cfRule type="duplicateValues" dxfId="6253" priority="2053"/>
  </conditionalFormatting>
  <conditionalFormatting sqref="AI13">
    <cfRule type="duplicateValues" dxfId="6252" priority="2052"/>
  </conditionalFormatting>
  <conditionalFormatting sqref="AI13">
    <cfRule type="duplicateValues" dxfId="6251" priority="2051"/>
  </conditionalFormatting>
  <conditionalFormatting sqref="AI13">
    <cfRule type="duplicateValues" dxfId="6250" priority="2050"/>
  </conditionalFormatting>
  <conditionalFormatting sqref="AI13">
    <cfRule type="duplicateValues" dxfId="6249" priority="2049"/>
  </conditionalFormatting>
  <conditionalFormatting sqref="AI13">
    <cfRule type="duplicateValues" dxfId="6248" priority="2048"/>
  </conditionalFormatting>
  <conditionalFormatting sqref="AI13">
    <cfRule type="duplicateValues" dxfId="6247" priority="2047"/>
  </conditionalFormatting>
  <conditionalFormatting sqref="AI13">
    <cfRule type="duplicateValues" dxfId="6246" priority="2046"/>
  </conditionalFormatting>
  <conditionalFormatting sqref="AI13">
    <cfRule type="duplicateValues" dxfId="6245" priority="2045"/>
  </conditionalFormatting>
  <conditionalFormatting sqref="AI13">
    <cfRule type="duplicateValues" dxfId="6244" priority="2044"/>
  </conditionalFormatting>
  <conditionalFormatting sqref="AI13">
    <cfRule type="duplicateValues" dxfId="6243" priority="2043"/>
  </conditionalFormatting>
  <conditionalFormatting sqref="AI13">
    <cfRule type="duplicateValues" dxfId="6242" priority="2042"/>
  </conditionalFormatting>
  <conditionalFormatting sqref="AI13">
    <cfRule type="duplicateValues" dxfId="6241" priority="2041"/>
  </conditionalFormatting>
  <conditionalFormatting sqref="AI13">
    <cfRule type="duplicateValues" dxfId="6240" priority="2039" stopIfTrue="1"/>
    <cfRule type="duplicateValues" dxfId="6239" priority="2040"/>
  </conditionalFormatting>
  <conditionalFormatting sqref="AI13">
    <cfRule type="duplicateValues" dxfId="6238" priority="2038"/>
  </conditionalFormatting>
  <conditionalFormatting sqref="AI13">
    <cfRule type="duplicateValues" dxfId="6237" priority="2037"/>
  </conditionalFormatting>
  <conditionalFormatting sqref="AI13">
    <cfRule type="duplicateValues" dxfId="6236" priority="2036"/>
  </conditionalFormatting>
  <conditionalFormatting sqref="AI13">
    <cfRule type="duplicateValues" dxfId="6235" priority="2035"/>
  </conditionalFormatting>
  <conditionalFormatting sqref="AI13">
    <cfRule type="duplicateValues" dxfId="6234" priority="2033" stopIfTrue="1"/>
    <cfRule type="duplicateValues" dxfId="6233" priority="2034"/>
  </conditionalFormatting>
  <conditionalFormatting sqref="AI13">
    <cfRule type="duplicateValues" dxfId="6232" priority="2032"/>
  </conditionalFormatting>
  <conditionalFormatting sqref="AI13">
    <cfRule type="duplicateValues" dxfId="6231" priority="2030" stopIfTrue="1"/>
    <cfRule type="duplicateValues" dxfId="6230" priority="2031"/>
  </conditionalFormatting>
  <conditionalFormatting sqref="AI13">
    <cfRule type="duplicateValues" dxfId="6229" priority="2029"/>
  </conditionalFormatting>
  <conditionalFormatting sqref="AI13">
    <cfRule type="duplicateValues" dxfId="6228" priority="2027" stopIfTrue="1"/>
    <cfRule type="duplicateValues" dxfId="6227" priority="2028"/>
  </conditionalFormatting>
  <conditionalFormatting sqref="AI13">
    <cfRule type="duplicateValues" dxfId="6226" priority="2026"/>
  </conditionalFormatting>
  <conditionalFormatting sqref="AI13">
    <cfRule type="duplicateValues" dxfId="6225" priority="2024" stopIfTrue="1"/>
    <cfRule type="duplicateValues" dxfId="6224" priority="2025"/>
  </conditionalFormatting>
  <conditionalFormatting sqref="AI13">
    <cfRule type="duplicateValues" dxfId="6223" priority="2023"/>
  </conditionalFormatting>
  <conditionalFormatting sqref="AI13">
    <cfRule type="duplicateValues" dxfId="6222" priority="2021" stopIfTrue="1"/>
    <cfRule type="duplicateValues" dxfId="6221" priority="2022"/>
  </conditionalFormatting>
  <conditionalFormatting sqref="AI13">
    <cfRule type="duplicateValues" dxfId="6220" priority="2020"/>
  </conditionalFormatting>
  <conditionalFormatting sqref="AI13">
    <cfRule type="duplicateValues" dxfId="6219" priority="2019"/>
  </conditionalFormatting>
  <conditionalFormatting sqref="AI13">
    <cfRule type="duplicateValues" dxfId="6218" priority="2018"/>
  </conditionalFormatting>
  <conditionalFormatting sqref="AI13">
    <cfRule type="duplicateValues" dxfId="6217" priority="2017"/>
  </conditionalFormatting>
  <conditionalFormatting sqref="AI13">
    <cfRule type="duplicateValues" dxfId="6216" priority="2016"/>
  </conditionalFormatting>
  <conditionalFormatting sqref="AI13">
    <cfRule type="duplicateValues" dxfId="6215" priority="2015"/>
  </conditionalFormatting>
  <conditionalFormatting sqref="AI13">
    <cfRule type="duplicateValues" dxfId="6214" priority="2014"/>
  </conditionalFormatting>
  <conditionalFormatting sqref="AI13">
    <cfRule type="duplicateValues" dxfId="6213" priority="2013"/>
  </conditionalFormatting>
  <conditionalFormatting sqref="AI13">
    <cfRule type="duplicateValues" dxfId="6212" priority="2012"/>
  </conditionalFormatting>
  <conditionalFormatting sqref="AI13">
    <cfRule type="duplicateValues" dxfId="6211" priority="2011"/>
  </conditionalFormatting>
  <conditionalFormatting sqref="AI13">
    <cfRule type="duplicateValues" dxfId="6210" priority="2010"/>
  </conditionalFormatting>
  <conditionalFormatting sqref="AI13">
    <cfRule type="duplicateValues" dxfId="6209" priority="2009"/>
  </conditionalFormatting>
  <conditionalFormatting sqref="AI13">
    <cfRule type="duplicateValues" dxfId="6208" priority="2008"/>
  </conditionalFormatting>
  <conditionalFormatting sqref="AI13">
    <cfRule type="duplicateValues" dxfId="6207" priority="2007"/>
  </conditionalFormatting>
  <conditionalFormatting sqref="AI13">
    <cfRule type="duplicateValues" dxfId="6206" priority="2006"/>
  </conditionalFormatting>
  <conditionalFormatting sqref="AI13">
    <cfRule type="duplicateValues" dxfId="6205" priority="2005"/>
  </conditionalFormatting>
  <conditionalFormatting sqref="AI13">
    <cfRule type="duplicateValues" dxfId="6204" priority="2004"/>
  </conditionalFormatting>
  <conditionalFormatting sqref="AI13">
    <cfRule type="duplicateValues" dxfId="6203" priority="2003"/>
  </conditionalFormatting>
  <conditionalFormatting sqref="AI13">
    <cfRule type="duplicateValues" dxfId="6202" priority="2002"/>
  </conditionalFormatting>
  <conditionalFormatting sqref="AI13">
    <cfRule type="duplicateValues" dxfId="6201" priority="2001"/>
  </conditionalFormatting>
  <conditionalFormatting sqref="AI13">
    <cfRule type="duplicateValues" dxfId="6200" priority="2000"/>
  </conditionalFormatting>
  <conditionalFormatting sqref="AI13">
    <cfRule type="duplicateValues" dxfId="6199" priority="1999"/>
  </conditionalFormatting>
  <conditionalFormatting sqref="AI13">
    <cfRule type="duplicateValues" dxfId="6198" priority="1998"/>
  </conditionalFormatting>
  <conditionalFormatting sqref="AI13">
    <cfRule type="duplicateValues" dxfId="6197" priority="1997"/>
  </conditionalFormatting>
  <conditionalFormatting sqref="AI13">
    <cfRule type="duplicateValues" dxfId="6196" priority="1996"/>
  </conditionalFormatting>
  <conditionalFormatting sqref="AI13">
    <cfRule type="duplicateValues" dxfId="6195" priority="1995"/>
  </conditionalFormatting>
  <conditionalFormatting sqref="AI13">
    <cfRule type="duplicateValues" dxfId="6194" priority="1994"/>
  </conditionalFormatting>
  <conditionalFormatting sqref="AI13">
    <cfRule type="duplicateValues" dxfId="6193" priority="1993"/>
  </conditionalFormatting>
  <conditionalFormatting sqref="AI13">
    <cfRule type="duplicateValues" dxfId="6192" priority="1992"/>
  </conditionalFormatting>
  <conditionalFormatting sqref="AI13">
    <cfRule type="duplicateValues" dxfId="6191" priority="1991"/>
  </conditionalFormatting>
  <conditionalFormatting sqref="AI13">
    <cfRule type="duplicateValues" dxfId="6190" priority="1990"/>
  </conditionalFormatting>
  <conditionalFormatting sqref="AI13">
    <cfRule type="duplicateValues" dxfId="6189" priority="1989"/>
  </conditionalFormatting>
  <conditionalFormatting sqref="AI13">
    <cfRule type="duplicateValues" dxfId="6188" priority="1988"/>
  </conditionalFormatting>
  <conditionalFormatting sqref="AI13">
    <cfRule type="duplicateValues" dxfId="6187" priority="1987"/>
  </conditionalFormatting>
  <conditionalFormatting sqref="AI13">
    <cfRule type="duplicateValues" dxfId="6186" priority="1986"/>
  </conditionalFormatting>
  <conditionalFormatting sqref="AI13">
    <cfRule type="duplicateValues" dxfId="6185" priority="1985"/>
  </conditionalFormatting>
  <conditionalFormatting sqref="AI13">
    <cfRule type="duplicateValues" dxfId="6184" priority="1984"/>
  </conditionalFormatting>
  <conditionalFormatting sqref="AI13">
    <cfRule type="duplicateValues" dxfId="6183" priority="1983"/>
  </conditionalFormatting>
  <conditionalFormatting sqref="AI13">
    <cfRule type="duplicateValues" dxfId="6182" priority="1982"/>
  </conditionalFormatting>
  <conditionalFormatting sqref="AI13">
    <cfRule type="duplicateValues" dxfId="6181" priority="1981"/>
  </conditionalFormatting>
  <conditionalFormatting sqref="AI13">
    <cfRule type="duplicateValues" dxfId="6180" priority="1979" stopIfTrue="1"/>
    <cfRule type="duplicateValues" dxfId="6179" priority="1980"/>
  </conditionalFormatting>
  <conditionalFormatting sqref="AI13">
    <cfRule type="duplicateValues" dxfId="6178" priority="1978"/>
  </conditionalFormatting>
  <conditionalFormatting sqref="AI13">
    <cfRule type="duplicateValues" dxfId="6177" priority="1977"/>
  </conditionalFormatting>
  <conditionalFormatting sqref="AI13">
    <cfRule type="duplicateValues" dxfId="6176" priority="1976"/>
  </conditionalFormatting>
  <conditionalFormatting sqref="AI13">
    <cfRule type="duplicateValues" dxfId="6175" priority="1975"/>
  </conditionalFormatting>
  <conditionalFormatting sqref="AI13">
    <cfRule type="duplicateValues" dxfId="6174" priority="1973" stopIfTrue="1"/>
    <cfRule type="duplicateValues" dxfId="6173" priority="1974"/>
  </conditionalFormatting>
  <conditionalFormatting sqref="AI13">
    <cfRule type="duplicateValues" dxfId="6172" priority="1972"/>
  </conditionalFormatting>
  <conditionalFormatting sqref="AI13">
    <cfRule type="duplicateValues" dxfId="6171" priority="1970" stopIfTrue="1"/>
    <cfRule type="duplicateValues" dxfId="6170" priority="1971"/>
  </conditionalFormatting>
  <conditionalFormatting sqref="AI13">
    <cfRule type="duplicateValues" dxfId="6169" priority="1969"/>
  </conditionalFormatting>
  <conditionalFormatting sqref="AI13">
    <cfRule type="duplicateValues" dxfId="6168" priority="1968"/>
  </conditionalFormatting>
  <conditionalFormatting sqref="AI13">
    <cfRule type="duplicateValues" dxfId="6167" priority="1967"/>
  </conditionalFormatting>
  <conditionalFormatting sqref="AI13">
    <cfRule type="duplicateValues" dxfId="6166" priority="1966"/>
  </conditionalFormatting>
  <conditionalFormatting sqref="AI13">
    <cfRule type="duplicateValues" dxfId="6165" priority="1965"/>
  </conditionalFormatting>
  <conditionalFormatting sqref="AI13">
    <cfRule type="duplicateValues" dxfId="6164" priority="1963" stopIfTrue="1"/>
    <cfRule type="duplicateValues" dxfId="6163" priority="1964"/>
  </conditionalFormatting>
  <conditionalFormatting sqref="AI13">
    <cfRule type="duplicateValues" dxfId="6162" priority="1962"/>
  </conditionalFormatting>
  <conditionalFormatting sqref="AI13">
    <cfRule type="duplicateValues" dxfId="6161" priority="1960" stopIfTrue="1"/>
    <cfRule type="duplicateValues" dxfId="6160" priority="1961"/>
  </conditionalFormatting>
  <conditionalFormatting sqref="AI13">
    <cfRule type="duplicateValues" dxfId="6159" priority="1959"/>
  </conditionalFormatting>
  <conditionalFormatting sqref="AI13">
    <cfRule type="duplicateValues" dxfId="6158" priority="1957" stopIfTrue="1"/>
    <cfRule type="duplicateValues" dxfId="6157" priority="1958"/>
  </conditionalFormatting>
  <conditionalFormatting sqref="AI13">
    <cfRule type="duplicateValues" dxfId="6156" priority="1956"/>
  </conditionalFormatting>
  <conditionalFormatting sqref="AI13">
    <cfRule type="duplicateValues" dxfId="6155" priority="1954" stopIfTrue="1"/>
    <cfRule type="duplicateValues" dxfId="6154" priority="1955"/>
  </conditionalFormatting>
  <conditionalFormatting sqref="AI13">
    <cfRule type="duplicateValues" dxfId="6153" priority="1953"/>
  </conditionalFormatting>
  <conditionalFormatting sqref="AI13">
    <cfRule type="duplicateValues" dxfId="6152" priority="1951" stopIfTrue="1"/>
    <cfRule type="duplicateValues" dxfId="6151" priority="1952"/>
  </conditionalFormatting>
  <conditionalFormatting sqref="AI13">
    <cfRule type="duplicateValues" dxfId="6150" priority="1950"/>
  </conditionalFormatting>
  <conditionalFormatting sqref="AI13">
    <cfRule type="duplicateValues" dxfId="6149" priority="1948" stopIfTrue="1"/>
    <cfRule type="duplicateValues" dxfId="6148" priority="1949"/>
  </conditionalFormatting>
  <conditionalFormatting sqref="AI13">
    <cfRule type="duplicateValues" dxfId="6147" priority="1947"/>
  </conditionalFormatting>
  <conditionalFormatting sqref="AI13">
    <cfRule type="duplicateValues" dxfId="6146" priority="1945" stopIfTrue="1"/>
    <cfRule type="duplicateValues" dxfId="6145" priority="1946"/>
  </conditionalFormatting>
  <conditionalFormatting sqref="AI13">
    <cfRule type="duplicateValues" dxfId="6144" priority="1944"/>
  </conditionalFormatting>
  <conditionalFormatting sqref="AI13">
    <cfRule type="duplicateValues" dxfId="6143" priority="1943"/>
  </conditionalFormatting>
  <conditionalFormatting sqref="AI13">
    <cfRule type="duplicateValues" dxfId="6142" priority="1942"/>
  </conditionalFormatting>
  <conditionalFormatting sqref="AI13">
    <cfRule type="duplicateValues" dxfId="6141" priority="1941"/>
  </conditionalFormatting>
  <conditionalFormatting sqref="AI13">
    <cfRule type="duplicateValues" dxfId="6140" priority="1940"/>
  </conditionalFormatting>
  <conditionalFormatting sqref="AI13">
    <cfRule type="duplicateValues" dxfId="6139" priority="1939"/>
  </conditionalFormatting>
  <conditionalFormatting sqref="AI13">
    <cfRule type="duplicateValues" dxfId="6138" priority="1938"/>
  </conditionalFormatting>
  <conditionalFormatting sqref="AI13">
    <cfRule type="duplicateValues" dxfId="6137" priority="1937"/>
  </conditionalFormatting>
  <conditionalFormatting sqref="AI13">
    <cfRule type="duplicateValues" dxfId="6136" priority="1936"/>
  </conditionalFormatting>
  <conditionalFormatting sqref="AI13">
    <cfRule type="duplicateValues" dxfId="6135" priority="1935"/>
  </conditionalFormatting>
  <conditionalFormatting sqref="AI13">
    <cfRule type="duplicateValues" dxfId="6134" priority="1933" stopIfTrue="1"/>
    <cfRule type="duplicateValues" dxfId="6133" priority="1934"/>
  </conditionalFormatting>
  <conditionalFormatting sqref="AI13">
    <cfRule type="duplicateValues" dxfId="6132" priority="1932"/>
  </conditionalFormatting>
  <conditionalFormatting sqref="AI13">
    <cfRule type="duplicateValues" dxfId="6131" priority="1930" stopIfTrue="1"/>
    <cfRule type="duplicateValues" dxfId="6130" priority="1931"/>
  </conditionalFormatting>
  <conditionalFormatting sqref="AI13">
    <cfRule type="duplicateValues" dxfId="6129" priority="1929"/>
  </conditionalFormatting>
  <conditionalFormatting sqref="AI13">
    <cfRule type="duplicateValues" dxfId="6128" priority="1927" stopIfTrue="1"/>
    <cfRule type="duplicateValues" dxfId="6127" priority="1928"/>
  </conditionalFormatting>
  <conditionalFormatting sqref="AI13">
    <cfRule type="duplicateValues" dxfId="6126" priority="1926"/>
  </conditionalFormatting>
  <conditionalFormatting sqref="AI13">
    <cfRule type="duplicateValues" dxfId="6125" priority="1924" stopIfTrue="1"/>
    <cfRule type="duplicateValues" dxfId="6124" priority="1925"/>
  </conditionalFormatting>
  <conditionalFormatting sqref="AI13">
    <cfRule type="duplicateValues" dxfId="6123" priority="1923"/>
  </conditionalFormatting>
  <conditionalFormatting sqref="AI13">
    <cfRule type="duplicateValues" dxfId="6122" priority="1921" stopIfTrue="1"/>
    <cfRule type="duplicateValues" dxfId="6121" priority="1922"/>
  </conditionalFormatting>
  <conditionalFormatting sqref="AI13">
    <cfRule type="duplicateValues" dxfId="6120" priority="1920"/>
  </conditionalFormatting>
  <conditionalFormatting sqref="AI13">
    <cfRule type="duplicateValues" dxfId="6119" priority="1919"/>
  </conditionalFormatting>
  <conditionalFormatting sqref="AI13">
    <cfRule type="duplicateValues" dxfId="6118" priority="1918"/>
  </conditionalFormatting>
  <conditionalFormatting sqref="AI13">
    <cfRule type="duplicateValues" dxfId="6117" priority="1917"/>
  </conditionalFormatting>
  <conditionalFormatting sqref="AI13">
    <cfRule type="duplicateValues" dxfId="6116" priority="1916"/>
  </conditionalFormatting>
  <conditionalFormatting sqref="AI13">
    <cfRule type="duplicateValues" dxfId="6115" priority="1915"/>
  </conditionalFormatting>
  <conditionalFormatting sqref="AI13">
    <cfRule type="duplicateValues" dxfId="6114" priority="1913" stopIfTrue="1"/>
    <cfRule type="duplicateValues" dxfId="6113" priority="1914"/>
  </conditionalFormatting>
  <conditionalFormatting sqref="AI13">
    <cfRule type="duplicateValues" dxfId="6112" priority="1912"/>
  </conditionalFormatting>
  <conditionalFormatting sqref="AI13">
    <cfRule type="duplicateValues" dxfId="6111" priority="1910" stopIfTrue="1"/>
    <cfRule type="duplicateValues" dxfId="6110" priority="1911"/>
  </conditionalFormatting>
  <conditionalFormatting sqref="AI13">
    <cfRule type="duplicateValues" dxfId="6109" priority="1909"/>
  </conditionalFormatting>
  <conditionalFormatting sqref="AI13">
    <cfRule type="duplicateValues" dxfId="6108" priority="1907" stopIfTrue="1"/>
    <cfRule type="duplicateValues" dxfId="6107" priority="1908"/>
  </conditionalFormatting>
  <conditionalFormatting sqref="AI13">
    <cfRule type="duplicateValues" dxfId="6106" priority="1906"/>
  </conditionalFormatting>
  <conditionalFormatting sqref="AI13">
    <cfRule type="duplicateValues" dxfId="6105" priority="1904" stopIfTrue="1"/>
    <cfRule type="duplicateValues" dxfId="6104" priority="1905"/>
  </conditionalFormatting>
  <conditionalFormatting sqref="AI13">
    <cfRule type="duplicateValues" dxfId="6103" priority="1903"/>
  </conditionalFormatting>
  <conditionalFormatting sqref="AI13">
    <cfRule type="duplicateValues" dxfId="6102" priority="1901" stopIfTrue="1"/>
    <cfRule type="duplicateValues" dxfId="6101" priority="1902"/>
  </conditionalFormatting>
  <conditionalFormatting sqref="AI13">
    <cfRule type="duplicateValues" dxfId="6100" priority="1900"/>
  </conditionalFormatting>
  <conditionalFormatting sqref="AI13">
    <cfRule type="duplicateValues" dxfId="6099" priority="1899"/>
  </conditionalFormatting>
  <conditionalFormatting sqref="AI13">
    <cfRule type="duplicateValues" dxfId="6098" priority="1898"/>
  </conditionalFormatting>
  <conditionalFormatting sqref="AI13">
    <cfRule type="duplicateValues" dxfId="6097" priority="1897"/>
  </conditionalFormatting>
  <conditionalFormatting sqref="AI13">
    <cfRule type="duplicateValues" dxfId="6096" priority="1896"/>
  </conditionalFormatting>
  <conditionalFormatting sqref="AI13">
    <cfRule type="duplicateValues" dxfId="6095" priority="1895"/>
  </conditionalFormatting>
  <conditionalFormatting sqref="AI13">
    <cfRule type="duplicateValues" dxfId="6094" priority="1893" stopIfTrue="1"/>
    <cfRule type="duplicateValues" dxfId="6093" priority="1894"/>
  </conditionalFormatting>
  <conditionalFormatting sqref="AI13">
    <cfRule type="duplicateValues" dxfId="6092" priority="1892"/>
  </conditionalFormatting>
  <conditionalFormatting sqref="AI13">
    <cfRule type="duplicateValues" dxfId="6091" priority="1890" stopIfTrue="1"/>
    <cfRule type="duplicateValues" dxfId="6090" priority="1891"/>
  </conditionalFormatting>
  <conditionalFormatting sqref="AI13">
    <cfRule type="duplicateValues" dxfId="6089" priority="1889"/>
  </conditionalFormatting>
  <conditionalFormatting sqref="AI13">
    <cfRule type="duplicateValues" dxfId="6088" priority="1887" stopIfTrue="1"/>
    <cfRule type="duplicateValues" dxfId="6087" priority="1888"/>
  </conditionalFormatting>
  <conditionalFormatting sqref="AI13">
    <cfRule type="duplicateValues" dxfId="6086" priority="1886"/>
  </conditionalFormatting>
  <conditionalFormatting sqref="AI13">
    <cfRule type="duplicateValues" dxfId="6085" priority="1884" stopIfTrue="1"/>
    <cfRule type="duplicateValues" dxfId="6084" priority="1885"/>
  </conditionalFormatting>
  <conditionalFormatting sqref="AI13">
    <cfRule type="duplicateValues" dxfId="6083" priority="1883"/>
  </conditionalFormatting>
  <conditionalFormatting sqref="AI13">
    <cfRule type="duplicateValues" dxfId="6082" priority="1881" stopIfTrue="1"/>
    <cfRule type="duplicateValues" dxfId="6081" priority="1882"/>
  </conditionalFormatting>
  <conditionalFormatting sqref="AI13">
    <cfRule type="duplicateValues" dxfId="6080" priority="1880"/>
  </conditionalFormatting>
  <conditionalFormatting sqref="AI13">
    <cfRule type="duplicateValues" dxfId="6079" priority="1879"/>
  </conditionalFormatting>
  <conditionalFormatting sqref="AI13">
    <cfRule type="duplicateValues" dxfId="6078" priority="1878"/>
  </conditionalFormatting>
  <conditionalFormatting sqref="AI13">
    <cfRule type="duplicateValues" dxfId="6077" priority="1877"/>
  </conditionalFormatting>
  <conditionalFormatting sqref="AI13">
    <cfRule type="duplicateValues" dxfId="6076" priority="1876"/>
  </conditionalFormatting>
  <conditionalFormatting sqref="AI13">
    <cfRule type="duplicateValues" dxfId="6075" priority="1875"/>
  </conditionalFormatting>
  <conditionalFormatting sqref="AI13">
    <cfRule type="duplicateValues" dxfId="6074" priority="1873" stopIfTrue="1"/>
    <cfRule type="duplicateValues" dxfId="6073" priority="1874"/>
  </conditionalFormatting>
  <conditionalFormatting sqref="AI13">
    <cfRule type="duplicateValues" dxfId="6072" priority="1872"/>
  </conditionalFormatting>
  <conditionalFormatting sqref="AI13">
    <cfRule type="duplicateValues" dxfId="6071" priority="1870" stopIfTrue="1"/>
    <cfRule type="duplicateValues" dxfId="6070" priority="1871"/>
  </conditionalFormatting>
  <conditionalFormatting sqref="AI13">
    <cfRule type="duplicateValues" dxfId="6069" priority="1869"/>
  </conditionalFormatting>
  <conditionalFormatting sqref="AI13">
    <cfRule type="duplicateValues" dxfId="6068" priority="1867" stopIfTrue="1"/>
    <cfRule type="duplicateValues" dxfId="6067" priority="1868"/>
  </conditionalFormatting>
  <conditionalFormatting sqref="AI13">
    <cfRule type="duplicateValues" dxfId="6066" priority="1866"/>
  </conditionalFormatting>
  <conditionalFormatting sqref="AI13">
    <cfRule type="duplicateValues" dxfId="6065" priority="1864" stopIfTrue="1"/>
    <cfRule type="duplicateValues" dxfId="6064" priority="1865"/>
  </conditionalFormatting>
  <conditionalFormatting sqref="AI13">
    <cfRule type="duplicateValues" dxfId="6063" priority="1863"/>
  </conditionalFormatting>
  <conditionalFormatting sqref="AI13">
    <cfRule type="duplicateValues" dxfId="6062" priority="1861" stopIfTrue="1"/>
    <cfRule type="duplicateValues" dxfId="6061" priority="1862"/>
  </conditionalFormatting>
  <conditionalFormatting sqref="AI13">
    <cfRule type="duplicateValues" dxfId="6060" priority="1860"/>
  </conditionalFormatting>
  <conditionalFormatting sqref="AI13">
    <cfRule type="duplicateValues" dxfId="6059" priority="1859"/>
  </conditionalFormatting>
  <conditionalFormatting sqref="AI13">
    <cfRule type="duplicateValues" dxfId="6058" priority="1858"/>
  </conditionalFormatting>
  <conditionalFormatting sqref="AI13">
    <cfRule type="duplicateValues" dxfId="6057" priority="1857"/>
  </conditionalFormatting>
  <conditionalFormatting sqref="AI13">
    <cfRule type="duplicateValues" dxfId="6056" priority="1856"/>
  </conditionalFormatting>
  <conditionalFormatting sqref="AI13">
    <cfRule type="duplicateValues" dxfId="6055" priority="1855"/>
  </conditionalFormatting>
  <conditionalFormatting sqref="AI13">
    <cfRule type="duplicateValues" dxfId="6054" priority="1854"/>
  </conditionalFormatting>
  <conditionalFormatting sqref="AI13">
    <cfRule type="duplicateValues" dxfId="6053" priority="1853"/>
  </conditionalFormatting>
  <conditionalFormatting sqref="AI13">
    <cfRule type="duplicateValues" dxfId="6052" priority="1852"/>
  </conditionalFormatting>
  <conditionalFormatting sqref="AI13">
    <cfRule type="duplicateValues" dxfId="6051" priority="1851"/>
  </conditionalFormatting>
  <conditionalFormatting sqref="AI13">
    <cfRule type="duplicateValues" dxfId="6050" priority="1850"/>
  </conditionalFormatting>
  <conditionalFormatting sqref="AI13">
    <cfRule type="duplicateValues" dxfId="6049" priority="1849"/>
  </conditionalFormatting>
  <conditionalFormatting sqref="AI13">
    <cfRule type="duplicateValues" dxfId="6048" priority="1848"/>
  </conditionalFormatting>
  <conditionalFormatting sqref="AI13">
    <cfRule type="duplicateValues" dxfId="6047" priority="1847"/>
  </conditionalFormatting>
  <conditionalFormatting sqref="AI13">
    <cfRule type="duplicateValues" dxfId="6046" priority="1846"/>
  </conditionalFormatting>
  <conditionalFormatting sqref="AI13">
    <cfRule type="duplicateValues" dxfId="6045" priority="1845"/>
  </conditionalFormatting>
  <conditionalFormatting sqref="AI13">
    <cfRule type="duplicateValues" dxfId="6044" priority="1844"/>
  </conditionalFormatting>
  <conditionalFormatting sqref="AI13">
    <cfRule type="duplicateValues" dxfId="6043" priority="1843"/>
  </conditionalFormatting>
  <conditionalFormatting sqref="AI13">
    <cfRule type="duplicateValues" dxfId="6042" priority="1842"/>
  </conditionalFormatting>
  <conditionalFormatting sqref="AI13">
    <cfRule type="duplicateValues" dxfId="6041" priority="1841"/>
  </conditionalFormatting>
  <conditionalFormatting sqref="AI13">
    <cfRule type="duplicateValues" dxfId="6040" priority="1840"/>
  </conditionalFormatting>
  <conditionalFormatting sqref="AI13">
    <cfRule type="duplicateValues" dxfId="6039" priority="1839"/>
  </conditionalFormatting>
  <conditionalFormatting sqref="AI13">
    <cfRule type="duplicateValues" dxfId="6038" priority="1838"/>
  </conditionalFormatting>
  <conditionalFormatting sqref="AI13">
    <cfRule type="duplicateValues" dxfId="6037" priority="1837"/>
  </conditionalFormatting>
  <conditionalFormatting sqref="AI13">
    <cfRule type="duplicateValues" dxfId="6036" priority="1836"/>
  </conditionalFormatting>
  <conditionalFormatting sqref="AI13">
    <cfRule type="duplicateValues" dxfId="6035" priority="1835"/>
  </conditionalFormatting>
  <conditionalFormatting sqref="AI13">
    <cfRule type="duplicateValues" dxfId="6034" priority="1834"/>
  </conditionalFormatting>
  <conditionalFormatting sqref="AI13">
    <cfRule type="duplicateValues" dxfId="6033" priority="1833"/>
  </conditionalFormatting>
  <conditionalFormatting sqref="AI13">
    <cfRule type="duplicateValues" dxfId="6032" priority="1832"/>
  </conditionalFormatting>
  <conditionalFormatting sqref="AI13">
    <cfRule type="duplicateValues" dxfId="6031" priority="1831"/>
  </conditionalFormatting>
  <conditionalFormatting sqref="AI13">
    <cfRule type="duplicateValues" dxfId="6030" priority="1830"/>
  </conditionalFormatting>
  <conditionalFormatting sqref="AI13">
    <cfRule type="duplicateValues" dxfId="6029" priority="1829"/>
  </conditionalFormatting>
  <conditionalFormatting sqref="AI13">
    <cfRule type="duplicateValues" dxfId="6028" priority="1828"/>
  </conditionalFormatting>
  <conditionalFormatting sqref="AI13">
    <cfRule type="duplicateValues" dxfId="6027" priority="1827"/>
  </conditionalFormatting>
  <conditionalFormatting sqref="AI13">
    <cfRule type="duplicateValues" dxfId="6026" priority="1826"/>
  </conditionalFormatting>
  <conditionalFormatting sqref="AI13">
    <cfRule type="duplicateValues" dxfId="6025" priority="1825"/>
  </conditionalFormatting>
  <conditionalFormatting sqref="AI13">
    <cfRule type="duplicateValues" dxfId="6024" priority="1824"/>
  </conditionalFormatting>
  <conditionalFormatting sqref="AI13">
    <cfRule type="duplicateValues" dxfId="6023" priority="1823"/>
  </conditionalFormatting>
  <conditionalFormatting sqref="AI13">
    <cfRule type="duplicateValues" dxfId="6022" priority="1822"/>
  </conditionalFormatting>
  <conditionalFormatting sqref="AI13">
    <cfRule type="duplicateValues" dxfId="6021" priority="1821"/>
  </conditionalFormatting>
  <conditionalFormatting sqref="AI13">
    <cfRule type="duplicateValues" dxfId="6020" priority="1819" stopIfTrue="1"/>
    <cfRule type="duplicateValues" dxfId="6019" priority="1820"/>
  </conditionalFormatting>
  <conditionalFormatting sqref="AI13">
    <cfRule type="duplicateValues" dxfId="6018" priority="1818"/>
  </conditionalFormatting>
  <conditionalFormatting sqref="AI13">
    <cfRule type="duplicateValues" dxfId="6017" priority="1817"/>
  </conditionalFormatting>
  <conditionalFormatting sqref="AI13">
    <cfRule type="duplicateValues" dxfId="6016" priority="1816"/>
  </conditionalFormatting>
  <conditionalFormatting sqref="AI13">
    <cfRule type="duplicateValues" dxfId="6015" priority="1815"/>
  </conditionalFormatting>
  <conditionalFormatting sqref="AI13">
    <cfRule type="duplicateValues" dxfId="6014" priority="1813" stopIfTrue="1"/>
    <cfRule type="duplicateValues" dxfId="6013" priority="1814"/>
  </conditionalFormatting>
  <conditionalFormatting sqref="AI13">
    <cfRule type="duplicateValues" dxfId="6012" priority="1812"/>
  </conditionalFormatting>
  <conditionalFormatting sqref="AI13">
    <cfRule type="duplicateValues" dxfId="6011" priority="1810" stopIfTrue="1"/>
    <cfRule type="duplicateValues" dxfId="6010" priority="1811"/>
  </conditionalFormatting>
  <conditionalFormatting sqref="AI13">
    <cfRule type="duplicateValues" dxfId="6009" priority="1809"/>
  </conditionalFormatting>
  <conditionalFormatting sqref="AI13">
    <cfRule type="duplicateValues" dxfId="6008" priority="1807" stopIfTrue="1"/>
    <cfRule type="duplicateValues" dxfId="6007" priority="1808"/>
  </conditionalFormatting>
  <conditionalFormatting sqref="AI13">
    <cfRule type="duplicateValues" dxfId="6006" priority="1806"/>
  </conditionalFormatting>
  <conditionalFormatting sqref="AI13">
    <cfRule type="duplicateValues" dxfId="6005" priority="1804" stopIfTrue="1"/>
    <cfRule type="duplicateValues" dxfId="6004" priority="1805"/>
  </conditionalFormatting>
  <conditionalFormatting sqref="AI13">
    <cfRule type="duplicateValues" dxfId="6003" priority="1803"/>
  </conditionalFormatting>
  <conditionalFormatting sqref="AI13">
    <cfRule type="duplicateValues" dxfId="6002" priority="1801" stopIfTrue="1"/>
    <cfRule type="duplicateValues" dxfId="6001" priority="1802"/>
  </conditionalFormatting>
  <conditionalFormatting sqref="AI13">
    <cfRule type="duplicateValues" dxfId="6000" priority="1800"/>
  </conditionalFormatting>
  <conditionalFormatting sqref="AI13">
    <cfRule type="duplicateValues" dxfId="5999" priority="1799"/>
  </conditionalFormatting>
  <conditionalFormatting sqref="AI13">
    <cfRule type="duplicateValues" dxfId="5998" priority="1798"/>
  </conditionalFormatting>
  <conditionalFormatting sqref="AI13">
    <cfRule type="duplicateValues" dxfId="5997" priority="1797"/>
  </conditionalFormatting>
  <conditionalFormatting sqref="AI13">
    <cfRule type="duplicateValues" dxfId="5996" priority="1796"/>
  </conditionalFormatting>
  <conditionalFormatting sqref="AI13">
    <cfRule type="duplicateValues" dxfId="5995" priority="1795"/>
  </conditionalFormatting>
  <conditionalFormatting sqref="AI13">
    <cfRule type="duplicateValues" dxfId="5994" priority="1793" stopIfTrue="1"/>
    <cfRule type="duplicateValues" dxfId="5993" priority="1794"/>
  </conditionalFormatting>
  <conditionalFormatting sqref="AI13">
    <cfRule type="duplicateValues" dxfId="5992" priority="1792"/>
  </conditionalFormatting>
  <conditionalFormatting sqref="AI13">
    <cfRule type="duplicateValues" dxfId="5991" priority="1790" stopIfTrue="1"/>
    <cfRule type="duplicateValues" dxfId="5990" priority="1791"/>
  </conditionalFormatting>
  <conditionalFormatting sqref="AI13">
    <cfRule type="duplicateValues" dxfId="5989" priority="1789"/>
  </conditionalFormatting>
  <conditionalFormatting sqref="AI13">
    <cfRule type="duplicateValues" dxfId="5988" priority="1787" stopIfTrue="1"/>
    <cfRule type="duplicateValues" dxfId="5987" priority="1788"/>
  </conditionalFormatting>
  <conditionalFormatting sqref="AI13">
    <cfRule type="duplicateValues" dxfId="5986" priority="1786"/>
  </conditionalFormatting>
  <conditionalFormatting sqref="AI13">
    <cfRule type="duplicateValues" dxfId="5985" priority="1784" stopIfTrue="1"/>
    <cfRule type="duplicateValues" dxfId="5984" priority="1785"/>
  </conditionalFormatting>
  <conditionalFormatting sqref="AI13">
    <cfRule type="duplicateValues" dxfId="5983" priority="1783"/>
  </conditionalFormatting>
  <conditionalFormatting sqref="AI13">
    <cfRule type="duplicateValues" dxfId="5982" priority="1781" stopIfTrue="1"/>
    <cfRule type="duplicateValues" dxfId="5981" priority="1782"/>
  </conditionalFormatting>
  <conditionalFormatting sqref="AI13">
    <cfRule type="duplicateValues" dxfId="5980" priority="1780"/>
  </conditionalFormatting>
  <conditionalFormatting sqref="AI13">
    <cfRule type="duplicateValues" dxfId="5979" priority="1779"/>
  </conditionalFormatting>
  <conditionalFormatting sqref="AI13">
    <cfRule type="duplicateValues" dxfId="5978" priority="1778"/>
  </conditionalFormatting>
  <conditionalFormatting sqref="AI13">
    <cfRule type="duplicateValues" dxfId="5977" priority="1777"/>
  </conditionalFormatting>
  <conditionalFormatting sqref="AI13">
    <cfRule type="duplicateValues" dxfId="5976" priority="1776"/>
  </conditionalFormatting>
  <conditionalFormatting sqref="AI13">
    <cfRule type="duplicateValues" dxfId="5975" priority="1775"/>
  </conditionalFormatting>
  <conditionalFormatting sqref="AI13">
    <cfRule type="duplicateValues" dxfId="5974" priority="1773" stopIfTrue="1"/>
    <cfRule type="duplicateValues" dxfId="5973" priority="1774"/>
  </conditionalFormatting>
  <conditionalFormatting sqref="AI13">
    <cfRule type="duplicateValues" dxfId="5972" priority="1772"/>
  </conditionalFormatting>
  <conditionalFormatting sqref="AI13">
    <cfRule type="duplicateValues" dxfId="5971" priority="1770" stopIfTrue="1"/>
    <cfRule type="duplicateValues" dxfId="5970" priority="1771"/>
  </conditionalFormatting>
  <conditionalFormatting sqref="AI13">
    <cfRule type="duplicateValues" dxfId="5969" priority="1769"/>
  </conditionalFormatting>
  <conditionalFormatting sqref="AI13">
    <cfRule type="duplicateValues" dxfId="5968" priority="1767" stopIfTrue="1"/>
    <cfRule type="duplicateValues" dxfId="5967" priority="1768"/>
  </conditionalFormatting>
  <conditionalFormatting sqref="AI13">
    <cfRule type="duplicateValues" dxfId="5966" priority="1766"/>
  </conditionalFormatting>
  <conditionalFormatting sqref="AI13">
    <cfRule type="duplicateValues" dxfId="5965" priority="1764" stopIfTrue="1"/>
    <cfRule type="duplicateValues" dxfId="5964" priority="1765"/>
  </conditionalFormatting>
  <conditionalFormatting sqref="AI13">
    <cfRule type="duplicateValues" dxfId="5963" priority="1763"/>
  </conditionalFormatting>
  <conditionalFormatting sqref="AI13">
    <cfRule type="duplicateValues" dxfId="5962" priority="1761" stopIfTrue="1"/>
    <cfRule type="duplicateValues" dxfId="5961" priority="1762"/>
  </conditionalFormatting>
  <conditionalFormatting sqref="AI13">
    <cfRule type="duplicateValues" dxfId="5960" priority="1760"/>
  </conditionalFormatting>
  <conditionalFormatting sqref="AI13">
    <cfRule type="duplicateValues" dxfId="5959" priority="1759"/>
  </conditionalFormatting>
  <conditionalFormatting sqref="AI13">
    <cfRule type="duplicateValues" dxfId="5958" priority="1758"/>
  </conditionalFormatting>
  <conditionalFormatting sqref="AI13">
    <cfRule type="duplicateValues" dxfId="5957" priority="1757"/>
  </conditionalFormatting>
  <conditionalFormatting sqref="AI13">
    <cfRule type="duplicateValues" dxfId="5956" priority="1756"/>
  </conditionalFormatting>
  <conditionalFormatting sqref="AI13">
    <cfRule type="duplicateValues" dxfId="5955" priority="1755"/>
  </conditionalFormatting>
  <conditionalFormatting sqref="AI13">
    <cfRule type="duplicateValues" dxfId="5954" priority="1754"/>
  </conditionalFormatting>
  <conditionalFormatting sqref="AI13">
    <cfRule type="duplicateValues" dxfId="5953" priority="1753"/>
  </conditionalFormatting>
  <conditionalFormatting sqref="AI13">
    <cfRule type="duplicateValues" dxfId="5952" priority="1752"/>
  </conditionalFormatting>
  <conditionalFormatting sqref="AI13">
    <cfRule type="duplicateValues" dxfId="5951" priority="1751"/>
  </conditionalFormatting>
  <conditionalFormatting sqref="AI13">
    <cfRule type="duplicateValues" dxfId="5950" priority="1750"/>
  </conditionalFormatting>
  <conditionalFormatting sqref="AI13">
    <cfRule type="duplicateValues" dxfId="5949" priority="1749"/>
  </conditionalFormatting>
  <conditionalFormatting sqref="AI13">
    <cfRule type="duplicateValues" dxfId="5948" priority="1748"/>
  </conditionalFormatting>
  <conditionalFormatting sqref="AI13">
    <cfRule type="duplicateValues" dxfId="5947" priority="1747"/>
  </conditionalFormatting>
  <conditionalFormatting sqref="AI13">
    <cfRule type="duplicateValues" dxfId="5946" priority="1746"/>
  </conditionalFormatting>
  <conditionalFormatting sqref="AI13">
    <cfRule type="duplicateValues" dxfId="5945" priority="1745"/>
  </conditionalFormatting>
  <conditionalFormatting sqref="AI13">
    <cfRule type="duplicateValues" dxfId="5944" priority="1744"/>
  </conditionalFormatting>
  <conditionalFormatting sqref="AI13">
    <cfRule type="duplicateValues" dxfId="5943" priority="1743"/>
  </conditionalFormatting>
  <conditionalFormatting sqref="AI13">
    <cfRule type="duplicateValues" dxfId="5942" priority="1742"/>
  </conditionalFormatting>
  <conditionalFormatting sqref="AI13">
    <cfRule type="duplicateValues" dxfId="5941" priority="1741"/>
  </conditionalFormatting>
  <conditionalFormatting sqref="AI13">
    <cfRule type="duplicateValues" dxfId="5940" priority="1740"/>
  </conditionalFormatting>
  <conditionalFormatting sqref="AI13">
    <cfRule type="duplicateValues" dxfId="5939" priority="1739"/>
  </conditionalFormatting>
  <conditionalFormatting sqref="AI13">
    <cfRule type="duplicateValues" dxfId="5938" priority="1738"/>
  </conditionalFormatting>
  <conditionalFormatting sqref="AI13">
    <cfRule type="duplicateValues" dxfId="5937" priority="1737"/>
  </conditionalFormatting>
  <conditionalFormatting sqref="AI13">
    <cfRule type="duplicateValues" dxfId="5936" priority="1736"/>
  </conditionalFormatting>
  <conditionalFormatting sqref="AI13">
    <cfRule type="duplicateValues" dxfId="5935" priority="1735"/>
  </conditionalFormatting>
  <conditionalFormatting sqref="AI13">
    <cfRule type="duplicateValues" dxfId="5934" priority="1734"/>
  </conditionalFormatting>
  <conditionalFormatting sqref="AI13">
    <cfRule type="duplicateValues" dxfId="5933" priority="1733"/>
  </conditionalFormatting>
  <conditionalFormatting sqref="AI13">
    <cfRule type="duplicateValues" dxfId="5932" priority="1732"/>
  </conditionalFormatting>
  <conditionalFormatting sqref="AI13">
    <cfRule type="duplicateValues" dxfId="5931" priority="1731"/>
  </conditionalFormatting>
  <conditionalFormatting sqref="AI13">
    <cfRule type="duplicateValues" dxfId="5930" priority="1730"/>
  </conditionalFormatting>
  <conditionalFormatting sqref="AI13">
    <cfRule type="duplicateValues" dxfId="5929" priority="1729"/>
  </conditionalFormatting>
  <conditionalFormatting sqref="AI13">
    <cfRule type="duplicateValues" dxfId="5928" priority="1728"/>
  </conditionalFormatting>
  <conditionalFormatting sqref="AI13">
    <cfRule type="duplicateValues" dxfId="5927" priority="1727"/>
  </conditionalFormatting>
  <conditionalFormatting sqref="AI13">
    <cfRule type="duplicateValues" dxfId="5926" priority="1726"/>
  </conditionalFormatting>
  <conditionalFormatting sqref="AI13">
    <cfRule type="duplicateValues" dxfId="5925" priority="1725"/>
  </conditionalFormatting>
  <conditionalFormatting sqref="AI13">
    <cfRule type="duplicateValues" dxfId="5924" priority="1724"/>
  </conditionalFormatting>
  <conditionalFormatting sqref="AI13">
    <cfRule type="duplicateValues" dxfId="5923" priority="1723"/>
  </conditionalFormatting>
  <conditionalFormatting sqref="AI13">
    <cfRule type="duplicateValues" dxfId="5922" priority="1722"/>
  </conditionalFormatting>
  <conditionalFormatting sqref="AI13">
    <cfRule type="duplicateValues" dxfId="5921" priority="1721"/>
  </conditionalFormatting>
  <conditionalFormatting sqref="AI13">
    <cfRule type="duplicateValues" dxfId="5920" priority="1719" stopIfTrue="1"/>
    <cfRule type="duplicateValues" dxfId="5919" priority="1720"/>
  </conditionalFormatting>
  <conditionalFormatting sqref="AI13">
    <cfRule type="duplicateValues" dxfId="5918" priority="1718"/>
  </conditionalFormatting>
  <conditionalFormatting sqref="AI13">
    <cfRule type="duplicateValues" dxfId="5917" priority="1717"/>
  </conditionalFormatting>
  <conditionalFormatting sqref="AI13">
    <cfRule type="duplicateValues" dxfId="5916" priority="1716"/>
  </conditionalFormatting>
  <conditionalFormatting sqref="AI13">
    <cfRule type="duplicateValues" dxfId="5915" priority="1715"/>
  </conditionalFormatting>
  <conditionalFormatting sqref="AI13">
    <cfRule type="duplicateValues" dxfId="5914" priority="1713" stopIfTrue="1"/>
    <cfRule type="duplicateValues" dxfId="5913" priority="1714"/>
  </conditionalFormatting>
  <conditionalFormatting sqref="AI13">
    <cfRule type="duplicateValues" dxfId="5912" priority="1712"/>
  </conditionalFormatting>
  <conditionalFormatting sqref="AI13">
    <cfRule type="duplicateValues" dxfId="5911" priority="1710" stopIfTrue="1"/>
    <cfRule type="duplicateValues" dxfId="5910" priority="1711"/>
  </conditionalFormatting>
  <conditionalFormatting sqref="AI13">
    <cfRule type="duplicateValues" dxfId="5909" priority="1709"/>
  </conditionalFormatting>
  <conditionalFormatting sqref="AI13">
    <cfRule type="duplicateValues" dxfId="5908" priority="1707" stopIfTrue="1"/>
    <cfRule type="duplicateValues" dxfId="5907" priority="1708"/>
  </conditionalFormatting>
  <conditionalFormatting sqref="AI13">
    <cfRule type="duplicateValues" dxfId="5906" priority="1706"/>
  </conditionalFormatting>
  <conditionalFormatting sqref="AI13">
    <cfRule type="duplicateValues" dxfId="5905" priority="1704" stopIfTrue="1"/>
    <cfRule type="duplicateValues" dxfId="5904" priority="1705"/>
  </conditionalFormatting>
  <conditionalFormatting sqref="AI13">
    <cfRule type="duplicateValues" dxfId="5903" priority="1703"/>
  </conditionalFormatting>
  <conditionalFormatting sqref="AI13">
    <cfRule type="duplicateValues" dxfId="5902" priority="1701" stopIfTrue="1"/>
    <cfRule type="duplicateValues" dxfId="5901" priority="1702"/>
  </conditionalFormatting>
  <conditionalFormatting sqref="AI13">
    <cfRule type="duplicateValues" dxfId="5900" priority="1700"/>
  </conditionalFormatting>
  <conditionalFormatting sqref="AI13">
    <cfRule type="duplicateValues" dxfId="5899" priority="1699"/>
  </conditionalFormatting>
  <conditionalFormatting sqref="AI13">
    <cfRule type="duplicateValues" dxfId="5898" priority="1698"/>
  </conditionalFormatting>
  <conditionalFormatting sqref="AI13">
    <cfRule type="duplicateValues" dxfId="5897" priority="1697"/>
  </conditionalFormatting>
  <conditionalFormatting sqref="AI13">
    <cfRule type="duplicateValues" dxfId="5896" priority="1696"/>
  </conditionalFormatting>
  <conditionalFormatting sqref="AI13">
    <cfRule type="duplicateValues" dxfId="5895" priority="1695"/>
  </conditionalFormatting>
  <conditionalFormatting sqref="AI13">
    <cfRule type="duplicateValues" dxfId="5894" priority="1693" stopIfTrue="1"/>
    <cfRule type="duplicateValues" dxfId="5893" priority="1694"/>
  </conditionalFormatting>
  <conditionalFormatting sqref="AI13">
    <cfRule type="duplicateValues" dxfId="5892" priority="1692"/>
  </conditionalFormatting>
  <conditionalFormatting sqref="AI13">
    <cfRule type="duplicateValues" dxfId="5891" priority="1690" stopIfTrue="1"/>
    <cfRule type="duplicateValues" dxfId="5890" priority="1691"/>
  </conditionalFormatting>
  <conditionalFormatting sqref="AI13">
    <cfRule type="duplicateValues" dxfId="5889" priority="1689"/>
  </conditionalFormatting>
  <conditionalFormatting sqref="AI13">
    <cfRule type="duplicateValues" dxfId="5888" priority="1687" stopIfTrue="1"/>
    <cfRule type="duplicateValues" dxfId="5887" priority="1688"/>
  </conditionalFormatting>
  <conditionalFormatting sqref="AI13">
    <cfRule type="duplicateValues" dxfId="5886" priority="1686"/>
  </conditionalFormatting>
  <conditionalFormatting sqref="AI13">
    <cfRule type="duplicateValues" dxfId="5885" priority="1684" stopIfTrue="1"/>
    <cfRule type="duplicateValues" dxfId="5884" priority="1685"/>
  </conditionalFormatting>
  <conditionalFormatting sqref="AI13">
    <cfRule type="duplicateValues" dxfId="5883" priority="1683"/>
  </conditionalFormatting>
  <conditionalFormatting sqref="AI13">
    <cfRule type="duplicateValues" dxfId="5882" priority="1681" stopIfTrue="1"/>
    <cfRule type="duplicateValues" dxfId="5881" priority="1682"/>
  </conditionalFormatting>
  <conditionalFormatting sqref="AI13">
    <cfRule type="duplicateValues" dxfId="5880" priority="1680"/>
  </conditionalFormatting>
  <conditionalFormatting sqref="AI13">
    <cfRule type="duplicateValues" dxfId="5879" priority="1679"/>
  </conditionalFormatting>
  <conditionalFormatting sqref="AI13">
    <cfRule type="duplicateValues" dxfId="5878" priority="1678"/>
  </conditionalFormatting>
  <conditionalFormatting sqref="AI13">
    <cfRule type="duplicateValues" dxfId="5877" priority="1677"/>
  </conditionalFormatting>
  <conditionalFormatting sqref="AI13">
    <cfRule type="duplicateValues" dxfId="5876" priority="1676"/>
  </conditionalFormatting>
  <conditionalFormatting sqref="AI13">
    <cfRule type="duplicateValues" dxfId="5875" priority="1675"/>
  </conditionalFormatting>
  <conditionalFormatting sqref="AI13">
    <cfRule type="duplicateValues" dxfId="5874" priority="1674"/>
  </conditionalFormatting>
  <conditionalFormatting sqref="AI13">
    <cfRule type="duplicateValues" dxfId="5873" priority="1673"/>
  </conditionalFormatting>
  <conditionalFormatting sqref="AI13">
    <cfRule type="duplicateValues" dxfId="5872" priority="1672"/>
  </conditionalFormatting>
  <conditionalFormatting sqref="AI13">
    <cfRule type="duplicateValues" dxfId="5871" priority="1671"/>
  </conditionalFormatting>
  <conditionalFormatting sqref="AI13">
    <cfRule type="duplicateValues" dxfId="5870" priority="1670"/>
  </conditionalFormatting>
  <conditionalFormatting sqref="AI13">
    <cfRule type="duplicateValues" dxfId="5869" priority="1669"/>
  </conditionalFormatting>
  <conditionalFormatting sqref="AI13">
    <cfRule type="duplicateValues" dxfId="5868" priority="1668"/>
  </conditionalFormatting>
  <conditionalFormatting sqref="AI13">
    <cfRule type="duplicateValues" dxfId="5867" priority="1667"/>
  </conditionalFormatting>
  <conditionalFormatting sqref="AI13">
    <cfRule type="duplicateValues" dxfId="5866" priority="1666"/>
  </conditionalFormatting>
  <conditionalFormatting sqref="AI13">
    <cfRule type="duplicateValues" dxfId="5865" priority="1665"/>
  </conditionalFormatting>
  <conditionalFormatting sqref="AI13">
    <cfRule type="duplicateValues" dxfId="5864" priority="1664"/>
  </conditionalFormatting>
  <conditionalFormatting sqref="AI13">
    <cfRule type="duplicateValues" dxfId="5863" priority="1663"/>
  </conditionalFormatting>
  <conditionalFormatting sqref="AI13">
    <cfRule type="duplicateValues" dxfId="5862" priority="1662"/>
  </conditionalFormatting>
  <conditionalFormatting sqref="AI13">
    <cfRule type="duplicateValues" dxfId="5861" priority="1661"/>
  </conditionalFormatting>
  <conditionalFormatting sqref="AI13">
    <cfRule type="duplicateValues" dxfId="5860" priority="1660"/>
  </conditionalFormatting>
  <conditionalFormatting sqref="AI13">
    <cfRule type="duplicateValues" dxfId="5859" priority="1659"/>
  </conditionalFormatting>
  <conditionalFormatting sqref="AI13">
    <cfRule type="duplicateValues" dxfId="5858" priority="1658"/>
  </conditionalFormatting>
  <conditionalFormatting sqref="AI13">
    <cfRule type="duplicateValues" dxfId="5857" priority="1657"/>
  </conditionalFormatting>
  <conditionalFormatting sqref="AI13">
    <cfRule type="duplicateValues" dxfId="5856" priority="1656"/>
  </conditionalFormatting>
  <conditionalFormatting sqref="AI13">
    <cfRule type="duplicateValues" dxfId="5855" priority="1655"/>
  </conditionalFormatting>
  <conditionalFormatting sqref="AI13">
    <cfRule type="duplicateValues" dxfId="5854" priority="1654"/>
  </conditionalFormatting>
  <conditionalFormatting sqref="AI13">
    <cfRule type="duplicateValues" dxfId="5853" priority="1653"/>
  </conditionalFormatting>
  <conditionalFormatting sqref="AI13">
    <cfRule type="duplicateValues" dxfId="5852" priority="1652"/>
  </conditionalFormatting>
  <conditionalFormatting sqref="AI13">
    <cfRule type="duplicateValues" dxfId="5851" priority="1651"/>
  </conditionalFormatting>
  <conditionalFormatting sqref="AI13">
    <cfRule type="duplicateValues" dxfId="5850" priority="1650"/>
  </conditionalFormatting>
  <conditionalFormatting sqref="AI13">
    <cfRule type="duplicateValues" dxfId="5849" priority="1649"/>
  </conditionalFormatting>
  <conditionalFormatting sqref="AI13">
    <cfRule type="duplicateValues" dxfId="5848" priority="1648"/>
  </conditionalFormatting>
  <conditionalFormatting sqref="AI13">
    <cfRule type="duplicateValues" dxfId="5847" priority="1647"/>
  </conditionalFormatting>
  <conditionalFormatting sqref="AI13">
    <cfRule type="duplicateValues" dxfId="5846" priority="1646"/>
  </conditionalFormatting>
  <conditionalFormatting sqref="AI13">
    <cfRule type="duplicateValues" dxfId="5845" priority="1645"/>
  </conditionalFormatting>
  <conditionalFormatting sqref="AI13">
    <cfRule type="duplicateValues" dxfId="5844" priority="1644"/>
  </conditionalFormatting>
  <conditionalFormatting sqref="AI13">
    <cfRule type="duplicateValues" dxfId="5843" priority="1643"/>
  </conditionalFormatting>
  <conditionalFormatting sqref="AI13">
    <cfRule type="duplicateValues" dxfId="5842" priority="1642"/>
  </conditionalFormatting>
  <conditionalFormatting sqref="AI13">
    <cfRule type="duplicateValues" dxfId="5841" priority="1641"/>
  </conditionalFormatting>
  <conditionalFormatting sqref="AI13">
    <cfRule type="duplicateValues" dxfId="5840" priority="1639" stopIfTrue="1"/>
    <cfRule type="duplicateValues" dxfId="5839" priority="1640"/>
  </conditionalFormatting>
  <conditionalFormatting sqref="AI13">
    <cfRule type="duplicateValues" dxfId="5838" priority="1638"/>
  </conditionalFormatting>
  <conditionalFormatting sqref="AI13">
    <cfRule type="duplicateValues" dxfId="5837" priority="1637"/>
  </conditionalFormatting>
  <conditionalFormatting sqref="AI13">
    <cfRule type="duplicateValues" dxfId="5836" priority="1636"/>
  </conditionalFormatting>
  <conditionalFormatting sqref="AI13">
    <cfRule type="duplicateValues" dxfId="5835" priority="1635"/>
  </conditionalFormatting>
  <conditionalFormatting sqref="AI13">
    <cfRule type="duplicateValues" dxfId="5834" priority="1633" stopIfTrue="1"/>
    <cfRule type="duplicateValues" dxfId="5833" priority="1634"/>
  </conditionalFormatting>
  <conditionalFormatting sqref="AI13">
    <cfRule type="duplicateValues" dxfId="5832" priority="1632"/>
  </conditionalFormatting>
  <conditionalFormatting sqref="AI13">
    <cfRule type="duplicateValues" dxfId="5831" priority="1630" stopIfTrue="1"/>
    <cfRule type="duplicateValues" dxfId="5830" priority="1631"/>
  </conditionalFormatting>
  <conditionalFormatting sqref="AI13">
    <cfRule type="duplicateValues" dxfId="5829" priority="1629"/>
  </conditionalFormatting>
  <conditionalFormatting sqref="AI13">
    <cfRule type="duplicateValues" dxfId="5828" priority="1627" stopIfTrue="1"/>
    <cfRule type="duplicateValues" dxfId="5827" priority="1628"/>
  </conditionalFormatting>
  <conditionalFormatting sqref="AI13">
    <cfRule type="duplicateValues" dxfId="5826" priority="1626"/>
  </conditionalFormatting>
  <conditionalFormatting sqref="AI13">
    <cfRule type="duplicateValues" dxfId="5825" priority="1624" stopIfTrue="1"/>
    <cfRule type="duplicateValues" dxfId="5824" priority="1625"/>
  </conditionalFormatting>
  <conditionalFormatting sqref="AI13">
    <cfRule type="duplicateValues" dxfId="5823" priority="1623"/>
  </conditionalFormatting>
  <conditionalFormatting sqref="AI13">
    <cfRule type="duplicateValues" dxfId="5822" priority="1621" stopIfTrue="1"/>
    <cfRule type="duplicateValues" dxfId="5821" priority="1622"/>
  </conditionalFormatting>
  <conditionalFormatting sqref="AI13">
    <cfRule type="duplicateValues" dxfId="5820" priority="1620"/>
  </conditionalFormatting>
  <conditionalFormatting sqref="AI13">
    <cfRule type="duplicateValues" dxfId="5819" priority="1619"/>
  </conditionalFormatting>
  <conditionalFormatting sqref="AI13">
    <cfRule type="duplicateValues" dxfId="5818" priority="1618"/>
  </conditionalFormatting>
  <conditionalFormatting sqref="AI13">
    <cfRule type="duplicateValues" dxfId="5817" priority="1617"/>
  </conditionalFormatting>
  <conditionalFormatting sqref="AI13">
    <cfRule type="duplicateValues" dxfId="5816" priority="1616"/>
  </conditionalFormatting>
  <conditionalFormatting sqref="AI13">
    <cfRule type="duplicateValues" dxfId="5815" priority="1615"/>
  </conditionalFormatting>
  <conditionalFormatting sqref="AI13">
    <cfRule type="duplicateValues" dxfId="5814" priority="1614"/>
  </conditionalFormatting>
  <conditionalFormatting sqref="AI13">
    <cfRule type="duplicateValues" dxfId="5813" priority="1613"/>
  </conditionalFormatting>
  <conditionalFormatting sqref="AI13">
    <cfRule type="duplicateValues" dxfId="5812" priority="1612"/>
  </conditionalFormatting>
  <conditionalFormatting sqref="AI13">
    <cfRule type="duplicateValues" dxfId="5811" priority="1611"/>
  </conditionalFormatting>
  <conditionalFormatting sqref="AI13">
    <cfRule type="duplicateValues" dxfId="5810" priority="1610"/>
  </conditionalFormatting>
  <conditionalFormatting sqref="AI13">
    <cfRule type="duplicateValues" dxfId="5809" priority="1609"/>
  </conditionalFormatting>
  <conditionalFormatting sqref="AI13">
    <cfRule type="duplicateValues" dxfId="5808" priority="1608"/>
  </conditionalFormatting>
  <conditionalFormatting sqref="AI13">
    <cfRule type="duplicateValues" dxfId="5807" priority="1607"/>
  </conditionalFormatting>
  <conditionalFormatting sqref="AI13">
    <cfRule type="duplicateValues" dxfId="5806" priority="1606"/>
  </conditionalFormatting>
  <conditionalFormatting sqref="AI13">
    <cfRule type="duplicateValues" dxfId="5805" priority="1605"/>
  </conditionalFormatting>
  <conditionalFormatting sqref="AI13">
    <cfRule type="duplicateValues" dxfId="5804" priority="1604"/>
  </conditionalFormatting>
  <conditionalFormatting sqref="AI13">
    <cfRule type="duplicateValues" dxfId="5803" priority="1603"/>
  </conditionalFormatting>
  <conditionalFormatting sqref="AI13">
    <cfRule type="duplicateValues" dxfId="5802" priority="1602"/>
  </conditionalFormatting>
  <conditionalFormatting sqref="AI13">
    <cfRule type="duplicateValues" dxfId="5801" priority="1601"/>
  </conditionalFormatting>
  <conditionalFormatting sqref="AI13">
    <cfRule type="duplicateValues" dxfId="5800" priority="1600"/>
  </conditionalFormatting>
  <conditionalFormatting sqref="AI13">
    <cfRule type="duplicateValues" dxfId="5799" priority="1599"/>
  </conditionalFormatting>
  <conditionalFormatting sqref="AI13">
    <cfRule type="duplicateValues" dxfId="5798" priority="1598"/>
  </conditionalFormatting>
  <conditionalFormatting sqref="AI13">
    <cfRule type="duplicateValues" dxfId="5797" priority="1597"/>
  </conditionalFormatting>
  <conditionalFormatting sqref="AI13">
    <cfRule type="duplicateValues" dxfId="5796" priority="1596"/>
  </conditionalFormatting>
  <conditionalFormatting sqref="AI13">
    <cfRule type="duplicateValues" dxfId="5795" priority="1595"/>
  </conditionalFormatting>
  <conditionalFormatting sqref="AI13">
    <cfRule type="duplicateValues" dxfId="5794" priority="1594"/>
  </conditionalFormatting>
  <conditionalFormatting sqref="AI13">
    <cfRule type="duplicateValues" dxfId="5793" priority="1593"/>
  </conditionalFormatting>
  <conditionalFormatting sqref="AI13">
    <cfRule type="duplicateValues" dxfId="5792" priority="1592"/>
  </conditionalFormatting>
  <conditionalFormatting sqref="AI13">
    <cfRule type="duplicateValues" dxfId="5791" priority="1591"/>
  </conditionalFormatting>
  <conditionalFormatting sqref="AI13">
    <cfRule type="duplicateValues" dxfId="5790" priority="1590"/>
  </conditionalFormatting>
  <conditionalFormatting sqref="AI13">
    <cfRule type="duplicateValues" dxfId="5789" priority="1589"/>
  </conditionalFormatting>
  <conditionalFormatting sqref="AI13">
    <cfRule type="duplicateValues" dxfId="5788" priority="1588"/>
  </conditionalFormatting>
  <conditionalFormatting sqref="AI13">
    <cfRule type="duplicateValues" dxfId="5787" priority="1587"/>
  </conditionalFormatting>
  <conditionalFormatting sqref="AI13">
    <cfRule type="duplicateValues" dxfId="5786" priority="1586"/>
  </conditionalFormatting>
  <conditionalFormatting sqref="AI13">
    <cfRule type="duplicateValues" dxfId="5785" priority="1585"/>
  </conditionalFormatting>
  <conditionalFormatting sqref="AI13">
    <cfRule type="duplicateValues" dxfId="5784" priority="1584"/>
  </conditionalFormatting>
  <conditionalFormatting sqref="AI13">
    <cfRule type="duplicateValues" dxfId="5783" priority="1583"/>
  </conditionalFormatting>
  <conditionalFormatting sqref="AI13">
    <cfRule type="duplicateValues" dxfId="5782" priority="1582"/>
  </conditionalFormatting>
  <conditionalFormatting sqref="AI13">
    <cfRule type="duplicateValues" dxfId="5781" priority="1581"/>
  </conditionalFormatting>
  <conditionalFormatting sqref="AI13">
    <cfRule type="duplicateValues" dxfId="5780" priority="1579" stopIfTrue="1"/>
    <cfRule type="duplicateValues" dxfId="5779" priority="1580"/>
  </conditionalFormatting>
  <conditionalFormatting sqref="AI13">
    <cfRule type="duplicateValues" dxfId="5778" priority="1578"/>
  </conditionalFormatting>
  <conditionalFormatting sqref="AI13">
    <cfRule type="duplicateValues" dxfId="5777" priority="1577"/>
  </conditionalFormatting>
  <conditionalFormatting sqref="AI13">
    <cfRule type="duplicateValues" dxfId="5776" priority="1576"/>
  </conditionalFormatting>
  <conditionalFormatting sqref="AI13">
    <cfRule type="duplicateValues" dxfId="5775" priority="1575"/>
  </conditionalFormatting>
  <conditionalFormatting sqref="AI13">
    <cfRule type="duplicateValues" dxfId="5774" priority="1573" stopIfTrue="1"/>
    <cfRule type="duplicateValues" dxfId="5773" priority="1574"/>
  </conditionalFormatting>
  <conditionalFormatting sqref="AI13">
    <cfRule type="duplicateValues" dxfId="5772" priority="1572"/>
  </conditionalFormatting>
  <conditionalFormatting sqref="AI13">
    <cfRule type="duplicateValues" dxfId="5771" priority="1571"/>
  </conditionalFormatting>
  <conditionalFormatting sqref="AI13">
    <cfRule type="duplicateValues" dxfId="5770" priority="1570"/>
  </conditionalFormatting>
  <conditionalFormatting sqref="AI13">
    <cfRule type="duplicateValues" dxfId="5769" priority="1568" stopIfTrue="1"/>
    <cfRule type="duplicateValues" dxfId="5768" priority="1569"/>
  </conditionalFormatting>
  <conditionalFormatting sqref="AI13">
    <cfRule type="duplicateValues" dxfId="5767" priority="1567"/>
  </conditionalFormatting>
  <conditionalFormatting sqref="AI13">
    <cfRule type="duplicateValues" dxfId="5766" priority="1565" stopIfTrue="1"/>
    <cfRule type="duplicateValues" dxfId="5765" priority="1566"/>
  </conditionalFormatting>
  <conditionalFormatting sqref="AI13">
    <cfRule type="duplicateValues" dxfId="5764" priority="1564"/>
  </conditionalFormatting>
  <conditionalFormatting sqref="AI13">
    <cfRule type="duplicateValues" dxfId="5763" priority="1562" stopIfTrue="1"/>
    <cfRule type="duplicateValues" dxfId="5762" priority="1563"/>
  </conditionalFormatting>
  <conditionalFormatting sqref="AI13">
    <cfRule type="duplicateValues" dxfId="5761" priority="1561"/>
  </conditionalFormatting>
  <conditionalFormatting sqref="AI13">
    <cfRule type="duplicateValues" dxfId="5760" priority="1559" stopIfTrue="1"/>
    <cfRule type="duplicateValues" dxfId="5759" priority="1560"/>
  </conditionalFormatting>
  <conditionalFormatting sqref="AI13">
    <cfRule type="duplicateValues" dxfId="5758" priority="1558"/>
  </conditionalFormatting>
  <conditionalFormatting sqref="AI13">
    <cfRule type="duplicateValues" dxfId="5757" priority="1556" stopIfTrue="1"/>
    <cfRule type="duplicateValues" dxfId="5756" priority="1557"/>
  </conditionalFormatting>
  <conditionalFormatting sqref="AI13">
    <cfRule type="duplicateValues" dxfId="5755" priority="1555"/>
  </conditionalFormatting>
  <conditionalFormatting sqref="AI13">
    <cfRule type="duplicateValues" dxfId="5754" priority="1554"/>
  </conditionalFormatting>
  <conditionalFormatting sqref="AI13">
    <cfRule type="duplicateValues" dxfId="5753" priority="1553"/>
  </conditionalFormatting>
  <conditionalFormatting sqref="AI13">
    <cfRule type="duplicateValues" dxfId="5752" priority="1552"/>
  </conditionalFormatting>
  <conditionalFormatting sqref="AI13">
    <cfRule type="duplicateValues" dxfId="5751" priority="1551"/>
  </conditionalFormatting>
  <conditionalFormatting sqref="AI13">
    <cfRule type="duplicateValues" dxfId="5750" priority="1550"/>
  </conditionalFormatting>
  <conditionalFormatting sqref="AI13">
    <cfRule type="duplicateValues" dxfId="5749" priority="1548" stopIfTrue="1"/>
    <cfRule type="duplicateValues" dxfId="5748" priority="1549"/>
  </conditionalFormatting>
  <conditionalFormatting sqref="AI13">
    <cfRule type="duplicateValues" dxfId="5747" priority="1547"/>
  </conditionalFormatting>
  <conditionalFormatting sqref="AI13">
    <cfRule type="duplicateValues" dxfId="5746" priority="1545" stopIfTrue="1"/>
    <cfRule type="duplicateValues" dxfId="5745" priority="1546"/>
  </conditionalFormatting>
  <conditionalFormatting sqref="AI13">
    <cfRule type="duplicateValues" dxfId="5744" priority="1544"/>
  </conditionalFormatting>
  <conditionalFormatting sqref="AI13">
    <cfRule type="duplicateValues" dxfId="5743" priority="1542" stopIfTrue="1"/>
    <cfRule type="duplicateValues" dxfId="5742" priority="1543"/>
  </conditionalFormatting>
  <conditionalFormatting sqref="AI13">
    <cfRule type="duplicateValues" dxfId="5741" priority="1541"/>
  </conditionalFormatting>
  <conditionalFormatting sqref="AI13">
    <cfRule type="duplicateValues" dxfId="5740" priority="1539" stopIfTrue="1"/>
    <cfRule type="duplicateValues" dxfId="5739" priority="1540"/>
  </conditionalFormatting>
  <conditionalFormatting sqref="AI13">
    <cfRule type="duplicateValues" dxfId="5738" priority="1538"/>
  </conditionalFormatting>
  <conditionalFormatting sqref="AI13">
    <cfRule type="duplicateValues" dxfId="5737" priority="1536" stopIfTrue="1"/>
    <cfRule type="duplicateValues" dxfId="5736" priority="1537"/>
  </conditionalFormatting>
  <conditionalFormatting sqref="AI13">
    <cfRule type="duplicateValues" dxfId="5735" priority="1535"/>
  </conditionalFormatting>
  <conditionalFormatting sqref="AI13">
    <cfRule type="duplicateValues" dxfId="5734" priority="1534"/>
  </conditionalFormatting>
  <conditionalFormatting sqref="AI13">
    <cfRule type="duplicateValues" dxfId="5733" priority="1533"/>
  </conditionalFormatting>
  <conditionalFormatting sqref="AI13">
    <cfRule type="duplicateValues" dxfId="5732" priority="1532"/>
  </conditionalFormatting>
  <conditionalFormatting sqref="AI13">
    <cfRule type="duplicateValues" dxfId="5731" priority="1531"/>
  </conditionalFormatting>
  <conditionalFormatting sqref="AI13">
    <cfRule type="duplicateValues" dxfId="5730" priority="1530"/>
  </conditionalFormatting>
  <conditionalFormatting sqref="AI13">
    <cfRule type="duplicateValues" dxfId="5729" priority="1528" stopIfTrue="1"/>
    <cfRule type="duplicateValues" dxfId="5728" priority="1529"/>
  </conditionalFormatting>
  <conditionalFormatting sqref="AI13">
    <cfRule type="duplicateValues" dxfId="5727" priority="1527"/>
  </conditionalFormatting>
  <conditionalFormatting sqref="AI13">
    <cfRule type="duplicateValues" dxfId="5726" priority="1525" stopIfTrue="1"/>
    <cfRule type="duplicateValues" dxfId="5725" priority="1526"/>
  </conditionalFormatting>
  <conditionalFormatting sqref="AI13">
    <cfRule type="duplicateValues" dxfId="5724" priority="1524"/>
  </conditionalFormatting>
  <conditionalFormatting sqref="AI13">
    <cfRule type="duplicateValues" dxfId="5723" priority="1522" stopIfTrue="1"/>
    <cfRule type="duplicateValues" dxfId="5722" priority="1523"/>
  </conditionalFormatting>
  <conditionalFormatting sqref="AI13">
    <cfRule type="duplicateValues" dxfId="5721" priority="1521"/>
  </conditionalFormatting>
  <conditionalFormatting sqref="AI13">
    <cfRule type="duplicateValues" dxfId="5720" priority="1519" stopIfTrue="1"/>
    <cfRule type="duplicateValues" dxfId="5719" priority="1520"/>
  </conditionalFormatting>
  <conditionalFormatting sqref="AI13">
    <cfRule type="duplicateValues" dxfId="5718" priority="1518"/>
  </conditionalFormatting>
  <conditionalFormatting sqref="AI13">
    <cfRule type="duplicateValues" dxfId="5717" priority="1516" stopIfTrue="1"/>
    <cfRule type="duplicateValues" dxfId="5716" priority="1517"/>
  </conditionalFormatting>
  <conditionalFormatting sqref="AI13">
    <cfRule type="duplicateValues" dxfId="5715" priority="1515"/>
  </conditionalFormatting>
  <conditionalFormatting sqref="AI13">
    <cfRule type="duplicateValues" dxfId="5714" priority="1514"/>
  </conditionalFormatting>
  <conditionalFormatting sqref="AI13">
    <cfRule type="duplicateValues" dxfId="5713" priority="1513"/>
  </conditionalFormatting>
  <conditionalFormatting sqref="AI13">
    <cfRule type="duplicateValues" dxfId="5712" priority="1512"/>
  </conditionalFormatting>
  <conditionalFormatting sqref="AI13">
    <cfRule type="duplicateValues" dxfId="5711" priority="1511"/>
  </conditionalFormatting>
  <conditionalFormatting sqref="AI13">
    <cfRule type="duplicateValues" dxfId="5710" priority="1510"/>
  </conditionalFormatting>
  <conditionalFormatting sqref="AI13">
    <cfRule type="duplicateValues" dxfId="5709" priority="1509"/>
  </conditionalFormatting>
  <conditionalFormatting sqref="AI13">
    <cfRule type="duplicateValues" dxfId="5708" priority="1508"/>
  </conditionalFormatting>
  <conditionalFormatting sqref="AI13">
    <cfRule type="duplicateValues" dxfId="5707" priority="1507"/>
  </conditionalFormatting>
  <conditionalFormatting sqref="AI13">
    <cfRule type="duplicateValues" dxfId="5706" priority="1506"/>
  </conditionalFormatting>
  <conditionalFormatting sqref="AI13">
    <cfRule type="duplicateValues" dxfId="5705" priority="1505"/>
  </conditionalFormatting>
  <conditionalFormatting sqref="AI13">
    <cfRule type="duplicateValues" dxfId="5704" priority="1504"/>
  </conditionalFormatting>
  <conditionalFormatting sqref="AI13">
    <cfRule type="duplicateValues" dxfId="5703" priority="1503"/>
  </conditionalFormatting>
  <conditionalFormatting sqref="AI13">
    <cfRule type="duplicateValues" dxfId="5702" priority="1502"/>
  </conditionalFormatting>
  <conditionalFormatting sqref="AI13">
    <cfRule type="duplicateValues" dxfId="5701" priority="1501"/>
  </conditionalFormatting>
  <conditionalFormatting sqref="AI13">
    <cfRule type="duplicateValues" dxfId="5700" priority="1500"/>
  </conditionalFormatting>
  <conditionalFormatting sqref="AI13">
    <cfRule type="duplicateValues" dxfId="5699" priority="1499"/>
  </conditionalFormatting>
  <conditionalFormatting sqref="AI13">
    <cfRule type="duplicateValues" dxfId="5698" priority="1498"/>
  </conditionalFormatting>
  <conditionalFormatting sqref="AI13">
    <cfRule type="duplicateValues" dxfId="5697" priority="1497"/>
  </conditionalFormatting>
  <conditionalFormatting sqref="AI13">
    <cfRule type="duplicateValues" dxfId="5696" priority="1496"/>
  </conditionalFormatting>
  <conditionalFormatting sqref="AI13">
    <cfRule type="duplicateValues" dxfId="5695" priority="1495"/>
  </conditionalFormatting>
  <conditionalFormatting sqref="AI13">
    <cfRule type="duplicateValues" dxfId="5694" priority="1494"/>
  </conditionalFormatting>
  <conditionalFormatting sqref="AI13">
    <cfRule type="duplicateValues" dxfId="5693" priority="1493"/>
  </conditionalFormatting>
  <conditionalFormatting sqref="AI13">
    <cfRule type="duplicateValues" dxfId="5692" priority="1492"/>
  </conditionalFormatting>
  <conditionalFormatting sqref="AI13">
    <cfRule type="duplicateValues" dxfId="5691" priority="1491"/>
  </conditionalFormatting>
  <conditionalFormatting sqref="AI13">
    <cfRule type="duplicateValues" dxfId="5690" priority="1490"/>
  </conditionalFormatting>
  <conditionalFormatting sqref="AI13">
    <cfRule type="duplicateValues" dxfId="5689" priority="1489"/>
  </conditionalFormatting>
  <conditionalFormatting sqref="AI13">
    <cfRule type="duplicateValues" dxfId="5688" priority="1488"/>
  </conditionalFormatting>
  <conditionalFormatting sqref="AI13">
    <cfRule type="duplicateValues" dxfId="5687" priority="1487"/>
  </conditionalFormatting>
  <conditionalFormatting sqref="AI13">
    <cfRule type="duplicateValues" dxfId="5686" priority="1486"/>
  </conditionalFormatting>
  <conditionalFormatting sqref="AI13">
    <cfRule type="duplicateValues" dxfId="5685" priority="1485"/>
  </conditionalFormatting>
  <conditionalFormatting sqref="AI13">
    <cfRule type="duplicateValues" dxfId="5684" priority="1484"/>
  </conditionalFormatting>
  <conditionalFormatting sqref="AI13">
    <cfRule type="duplicateValues" dxfId="5683" priority="1483"/>
  </conditionalFormatting>
  <conditionalFormatting sqref="AI13">
    <cfRule type="duplicateValues" dxfId="5682" priority="1482"/>
  </conditionalFormatting>
  <conditionalFormatting sqref="AI13">
    <cfRule type="duplicateValues" dxfId="5681" priority="1481"/>
  </conditionalFormatting>
  <conditionalFormatting sqref="AI13">
    <cfRule type="duplicateValues" dxfId="5680" priority="1480"/>
  </conditionalFormatting>
  <conditionalFormatting sqref="AI13">
    <cfRule type="duplicateValues" dxfId="5679" priority="1479"/>
  </conditionalFormatting>
  <conditionalFormatting sqref="AI13">
    <cfRule type="duplicateValues" dxfId="5678" priority="1478"/>
  </conditionalFormatting>
  <conditionalFormatting sqref="AI13">
    <cfRule type="duplicateValues" dxfId="5677" priority="1477"/>
  </conditionalFormatting>
  <conditionalFormatting sqref="AI13">
    <cfRule type="duplicateValues" dxfId="5676" priority="1476"/>
  </conditionalFormatting>
  <conditionalFormatting sqref="AI13">
    <cfRule type="duplicateValues" dxfId="5675" priority="1474" stopIfTrue="1"/>
    <cfRule type="duplicateValues" dxfId="5674" priority="1475"/>
  </conditionalFormatting>
  <conditionalFormatting sqref="AI13">
    <cfRule type="duplicateValues" dxfId="5673" priority="1473"/>
  </conditionalFormatting>
  <conditionalFormatting sqref="AI13">
    <cfRule type="duplicateValues" dxfId="5672" priority="1472"/>
  </conditionalFormatting>
  <conditionalFormatting sqref="AI13">
    <cfRule type="duplicateValues" dxfId="5671" priority="1471"/>
  </conditionalFormatting>
  <conditionalFormatting sqref="AI13">
    <cfRule type="duplicateValues" dxfId="5670" priority="1470"/>
  </conditionalFormatting>
  <conditionalFormatting sqref="AI13">
    <cfRule type="duplicateValues" dxfId="5669" priority="1468" stopIfTrue="1"/>
    <cfRule type="duplicateValues" dxfId="5668" priority="1469"/>
  </conditionalFormatting>
  <conditionalFormatting sqref="AI13">
    <cfRule type="duplicateValues" dxfId="5667" priority="1467"/>
  </conditionalFormatting>
  <conditionalFormatting sqref="AI13">
    <cfRule type="duplicateValues" dxfId="5666" priority="1465" stopIfTrue="1"/>
    <cfRule type="duplicateValues" dxfId="5665" priority="1466"/>
  </conditionalFormatting>
  <conditionalFormatting sqref="AI13">
    <cfRule type="duplicateValues" dxfId="5664" priority="1464"/>
  </conditionalFormatting>
  <conditionalFormatting sqref="AI13">
    <cfRule type="duplicateValues" dxfId="5663" priority="1462" stopIfTrue="1"/>
    <cfRule type="duplicateValues" dxfId="5662" priority="1463"/>
  </conditionalFormatting>
  <conditionalFormatting sqref="AI13">
    <cfRule type="duplicateValues" dxfId="5661" priority="1461"/>
  </conditionalFormatting>
  <conditionalFormatting sqref="AI13">
    <cfRule type="duplicateValues" dxfId="5660" priority="1459" stopIfTrue="1"/>
    <cfRule type="duplicateValues" dxfId="5659" priority="1460"/>
  </conditionalFormatting>
  <conditionalFormatting sqref="AI13">
    <cfRule type="duplicateValues" dxfId="5658" priority="1458"/>
  </conditionalFormatting>
  <conditionalFormatting sqref="AI13">
    <cfRule type="duplicateValues" dxfId="5657" priority="1456" stopIfTrue="1"/>
    <cfRule type="duplicateValues" dxfId="5656" priority="1457"/>
  </conditionalFormatting>
  <conditionalFormatting sqref="AI13">
    <cfRule type="duplicateValues" dxfId="5655" priority="1455"/>
  </conditionalFormatting>
  <conditionalFormatting sqref="AI13">
    <cfRule type="duplicateValues" dxfId="5654" priority="1454"/>
  </conditionalFormatting>
  <conditionalFormatting sqref="AI13">
    <cfRule type="duplicateValues" dxfId="5653" priority="1453"/>
  </conditionalFormatting>
  <conditionalFormatting sqref="AI13">
    <cfRule type="duplicateValues" dxfId="5652" priority="1452"/>
  </conditionalFormatting>
  <conditionalFormatting sqref="AI13">
    <cfRule type="duplicateValues" dxfId="5651" priority="1451"/>
  </conditionalFormatting>
  <conditionalFormatting sqref="AI13">
    <cfRule type="duplicateValues" dxfId="5650" priority="1450"/>
  </conditionalFormatting>
  <conditionalFormatting sqref="AI13">
    <cfRule type="duplicateValues" dxfId="5649" priority="1448" stopIfTrue="1"/>
    <cfRule type="duplicateValues" dxfId="5648" priority="1449"/>
  </conditionalFormatting>
  <conditionalFormatting sqref="AI13">
    <cfRule type="duplicateValues" dxfId="5647" priority="1447"/>
  </conditionalFormatting>
  <conditionalFormatting sqref="AI13">
    <cfRule type="duplicateValues" dxfId="5646" priority="1445" stopIfTrue="1"/>
    <cfRule type="duplicateValues" dxfId="5645" priority="1446"/>
  </conditionalFormatting>
  <conditionalFormatting sqref="AI13">
    <cfRule type="duplicateValues" dxfId="5644" priority="1444"/>
  </conditionalFormatting>
  <conditionalFormatting sqref="AI13">
    <cfRule type="duplicateValues" dxfId="5643" priority="1442" stopIfTrue="1"/>
    <cfRule type="duplicateValues" dxfId="5642" priority="1443"/>
  </conditionalFormatting>
  <conditionalFormatting sqref="AI13">
    <cfRule type="duplicateValues" dxfId="5641" priority="1441"/>
  </conditionalFormatting>
  <conditionalFormatting sqref="AI13">
    <cfRule type="duplicateValues" dxfId="5640" priority="1439" stopIfTrue="1"/>
    <cfRule type="duplicateValues" dxfId="5639" priority="1440"/>
  </conditionalFormatting>
  <conditionalFormatting sqref="AI13">
    <cfRule type="duplicateValues" dxfId="5638" priority="1438"/>
  </conditionalFormatting>
  <conditionalFormatting sqref="AI13">
    <cfRule type="duplicateValues" dxfId="5637" priority="1436" stopIfTrue="1"/>
    <cfRule type="duplicateValues" dxfId="5636" priority="1437"/>
  </conditionalFormatting>
  <conditionalFormatting sqref="AI13">
    <cfRule type="duplicateValues" dxfId="5635" priority="1435"/>
  </conditionalFormatting>
  <conditionalFormatting sqref="AI13">
    <cfRule type="duplicateValues" dxfId="5634" priority="1434"/>
  </conditionalFormatting>
  <conditionalFormatting sqref="AI13">
    <cfRule type="duplicateValues" dxfId="5633" priority="1433"/>
  </conditionalFormatting>
  <conditionalFormatting sqref="AI13">
    <cfRule type="duplicateValues" dxfId="5632" priority="1432"/>
  </conditionalFormatting>
  <conditionalFormatting sqref="AI13">
    <cfRule type="duplicateValues" dxfId="5631" priority="1431"/>
  </conditionalFormatting>
  <conditionalFormatting sqref="AI13">
    <cfRule type="duplicateValues" dxfId="5630" priority="1430"/>
  </conditionalFormatting>
  <conditionalFormatting sqref="AI13">
    <cfRule type="duplicateValues" dxfId="5629" priority="1429"/>
  </conditionalFormatting>
  <conditionalFormatting sqref="AI13">
    <cfRule type="duplicateValues" dxfId="5628" priority="1428"/>
  </conditionalFormatting>
  <conditionalFormatting sqref="AI13">
    <cfRule type="duplicateValues" dxfId="5627" priority="1427"/>
  </conditionalFormatting>
  <conditionalFormatting sqref="AI13">
    <cfRule type="duplicateValues" dxfId="5626" priority="1426"/>
  </conditionalFormatting>
  <conditionalFormatting sqref="AI13">
    <cfRule type="duplicateValues" dxfId="5625" priority="1425"/>
  </conditionalFormatting>
  <conditionalFormatting sqref="AI13">
    <cfRule type="duplicateValues" dxfId="5624" priority="1424"/>
  </conditionalFormatting>
  <conditionalFormatting sqref="AI13">
    <cfRule type="duplicateValues" dxfId="5623" priority="1423"/>
  </conditionalFormatting>
  <conditionalFormatting sqref="AI13">
    <cfRule type="duplicateValues" dxfId="5622" priority="1422"/>
  </conditionalFormatting>
  <conditionalFormatting sqref="AI13">
    <cfRule type="duplicateValues" dxfId="5621" priority="1421"/>
  </conditionalFormatting>
  <conditionalFormatting sqref="AI13">
    <cfRule type="duplicateValues" dxfId="5620" priority="1420"/>
  </conditionalFormatting>
  <conditionalFormatting sqref="AI13">
    <cfRule type="duplicateValues" dxfId="5619" priority="1419"/>
  </conditionalFormatting>
  <conditionalFormatting sqref="AI13">
    <cfRule type="duplicateValues" dxfId="5618" priority="1418"/>
  </conditionalFormatting>
  <conditionalFormatting sqref="AI13">
    <cfRule type="duplicateValues" dxfId="5617" priority="1417"/>
  </conditionalFormatting>
  <conditionalFormatting sqref="AI13">
    <cfRule type="duplicateValues" dxfId="5616" priority="1416"/>
  </conditionalFormatting>
  <conditionalFormatting sqref="AI13">
    <cfRule type="duplicateValues" dxfId="5615" priority="1415"/>
  </conditionalFormatting>
  <conditionalFormatting sqref="AI13">
    <cfRule type="duplicateValues" dxfId="5614" priority="1414"/>
  </conditionalFormatting>
  <conditionalFormatting sqref="AI13">
    <cfRule type="duplicateValues" dxfId="5613" priority="1413"/>
  </conditionalFormatting>
  <conditionalFormatting sqref="AI13">
    <cfRule type="duplicateValues" dxfId="5612" priority="1412"/>
  </conditionalFormatting>
  <conditionalFormatting sqref="AI13">
    <cfRule type="duplicateValues" dxfId="5611" priority="1411"/>
  </conditionalFormatting>
  <conditionalFormatting sqref="AI13">
    <cfRule type="duplicateValues" dxfId="5610" priority="1410"/>
  </conditionalFormatting>
  <conditionalFormatting sqref="AI13">
    <cfRule type="duplicateValues" dxfId="5609" priority="1409"/>
  </conditionalFormatting>
  <conditionalFormatting sqref="AI13">
    <cfRule type="duplicateValues" dxfId="5608" priority="1408"/>
  </conditionalFormatting>
  <conditionalFormatting sqref="AI13">
    <cfRule type="duplicateValues" dxfId="5607" priority="1407"/>
  </conditionalFormatting>
  <conditionalFormatting sqref="AI13">
    <cfRule type="duplicateValues" dxfId="5606" priority="1406"/>
  </conditionalFormatting>
  <conditionalFormatting sqref="AI13">
    <cfRule type="duplicateValues" dxfId="5605" priority="1405"/>
  </conditionalFormatting>
  <conditionalFormatting sqref="AI13">
    <cfRule type="duplicateValues" dxfId="5604" priority="1404"/>
  </conditionalFormatting>
  <conditionalFormatting sqref="AI13">
    <cfRule type="duplicateValues" dxfId="5603" priority="1403"/>
  </conditionalFormatting>
  <conditionalFormatting sqref="AI13">
    <cfRule type="duplicateValues" dxfId="5602" priority="1402"/>
  </conditionalFormatting>
  <conditionalFormatting sqref="AI13">
    <cfRule type="duplicateValues" dxfId="5601" priority="1401"/>
  </conditionalFormatting>
  <conditionalFormatting sqref="AI13">
    <cfRule type="duplicateValues" dxfId="5600" priority="1400"/>
  </conditionalFormatting>
  <conditionalFormatting sqref="AI13">
    <cfRule type="duplicateValues" dxfId="5599" priority="1399"/>
  </conditionalFormatting>
  <conditionalFormatting sqref="AI13">
    <cfRule type="duplicateValues" dxfId="5598" priority="1398"/>
  </conditionalFormatting>
  <conditionalFormatting sqref="AI13">
    <cfRule type="duplicateValues" dxfId="5597" priority="1397"/>
  </conditionalFormatting>
  <conditionalFormatting sqref="AI13">
    <cfRule type="duplicateValues" dxfId="5596" priority="1396"/>
  </conditionalFormatting>
  <conditionalFormatting sqref="AI13">
    <cfRule type="duplicateValues" dxfId="5595" priority="1394" stopIfTrue="1"/>
    <cfRule type="duplicateValues" dxfId="5594" priority="1395"/>
  </conditionalFormatting>
  <conditionalFormatting sqref="AI13">
    <cfRule type="duplicateValues" dxfId="5593" priority="1393"/>
  </conditionalFormatting>
  <conditionalFormatting sqref="AI13">
    <cfRule type="duplicateValues" dxfId="5592" priority="1392"/>
  </conditionalFormatting>
  <conditionalFormatting sqref="AI13">
    <cfRule type="duplicateValues" dxfId="5591" priority="1391"/>
  </conditionalFormatting>
  <conditionalFormatting sqref="AI13">
    <cfRule type="duplicateValues" dxfId="5590" priority="1390"/>
  </conditionalFormatting>
  <conditionalFormatting sqref="AI13">
    <cfRule type="duplicateValues" dxfId="5589" priority="1388" stopIfTrue="1"/>
    <cfRule type="duplicateValues" dxfId="5588" priority="1389"/>
  </conditionalFormatting>
  <conditionalFormatting sqref="AI13">
    <cfRule type="duplicateValues" dxfId="5587" priority="1387"/>
  </conditionalFormatting>
  <conditionalFormatting sqref="AI13">
    <cfRule type="duplicateValues" dxfId="5586" priority="1385" stopIfTrue="1"/>
    <cfRule type="duplicateValues" dxfId="5585" priority="1386"/>
  </conditionalFormatting>
  <conditionalFormatting sqref="AI13">
    <cfRule type="duplicateValues" dxfId="5584" priority="1384"/>
  </conditionalFormatting>
  <conditionalFormatting sqref="AI13">
    <cfRule type="duplicateValues" dxfId="5583" priority="1382" stopIfTrue="1"/>
    <cfRule type="duplicateValues" dxfId="5582" priority="1383"/>
  </conditionalFormatting>
  <conditionalFormatting sqref="AI13">
    <cfRule type="duplicateValues" dxfId="5581" priority="1381"/>
  </conditionalFormatting>
  <conditionalFormatting sqref="AI13">
    <cfRule type="duplicateValues" dxfId="5580" priority="1379" stopIfTrue="1"/>
    <cfRule type="duplicateValues" dxfId="5579" priority="1380"/>
  </conditionalFormatting>
  <conditionalFormatting sqref="AI13">
    <cfRule type="duplicateValues" dxfId="5578" priority="1378"/>
  </conditionalFormatting>
  <conditionalFormatting sqref="AI13">
    <cfRule type="duplicateValues" dxfId="5577" priority="1376" stopIfTrue="1"/>
    <cfRule type="duplicateValues" dxfId="5576" priority="1377"/>
  </conditionalFormatting>
  <conditionalFormatting sqref="AI13">
    <cfRule type="duplicateValues" dxfId="5575" priority="1375"/>
  </conditionalFormatting>
  <conditionalFormatting sqref="AI13">
    <cfRule type="duplicateValues" dxfId="5574" priority="1374"/>
  </conditionalFormatting>
  <conditionalFormatting sqref="AI13">
    <cfRule type="duplicateValues" dxfId="5573" priority="1373"/>
  </conditionalFormatting>
  <conditionalFormatting sqref="AI13">
    <cfRule type="duplicateValues" dxfId="5572" priority="1372"/>
  </conditionalFormatting>
  <conditionalFormatting sqref="AI13">
    <cfRule type="duplicateValues" dxfId="5571" priority="1371"/>
  </conditionalFormatting>
  <conditionalFormatting sqref="AI13">
    <cfRule type="duplicateValues" dxfId="5570" priority="1370"/>
  </conditionalFormatting>
  <conditionalFormatting sqref="AI13">
    <cfRule type="duplicateValues" dxfId="5569" priority="1369"/>
  </conditionalFormatting>
  <conditionalFormatting sqref="AI13">
    <cfRule type="duplicateValues" dxfId="5568" priority="1368"/>
  </conditionalFormatting>
  <conditionalFormatting sqref="AI13">
    <cfRule type="duplicateValues" dxfId="5567" priority="1367"/>
  </conditionalFormatting>
  <conditionalFormatting sqref="AI13">
    <cfRule type="duplicateValues" dxfId="5566" priority="1366"/>
  </conditionalFormatting>
  <conditionalFormatting sqref="AI13">
    <cfRule type="duplicateValues" dxfId="5565" priority="1365"/>
  </conditionalFormatting>
  <conditionalFormatting sqref="AI13">
    <cfRule type="duplicateValues" dxfId="5564" priority="1364"/>
  </conditionalFormatting>
  <conditionalFormatting sqref="AI13">
    <cfRule type="duplicateValues" dxfId="5563" priority="1363"/>
  </conditionalFormatting>
  <conditionalFormatting sqref="AI13">
    <cfRule type="duplicateValues" dxfId="5562" priority="1362"/>
  </conditionalFormatting>
  <conditionalFormatting sqref="AI13">
    <cfRule type="duplicateValues" dxfId="5561" priority="1361"/>
  </conditionalFormatting>
  <conditionalFormatting sqref="AI13">
    <cfRule type="duplicateValues" dxfId="5560" priority="1360"/>
  </conditionalFormatting>
  <conditionalFormatting sqref="AI13">
    <cfRule type="duplicateValues" dxfId="5559" priority="1359"/>
  </conditionalFormatting>
  <conditionalFormatting sqref="AI13">
    <cfRule type="duplicateValues" dxfId="5558" priority="1358"/>
  </conditionalFormatting>
  <conditionalFormatting sqref="AI13">
    <cfRule type="duplicateValues" dxfId="5557" priority="1357"/>
  </conditionalFormatting>
  <conditionalFormatting sqref="AI13">
    <cfRule type="duplicateValues" dxfId="5556" priority="1356"/>
  </conditionalFormatting>
  <conditionalFormatting sqref="AI13">
    <cfRule type="duplicateValues" dxfId="5555" priority="1355"/>
  </conditionalFormatting>
  <conditionalFormatting sqref="AI13">
    <cfRule type="duplicateValues" dxfId="5554" priority="1354"/>
  </conditionalFormatting>
  <conditionalFormatting sqref="AI13">
    <cfRule type="duplicateValues" dxfId="5553" priority="1353"/>
  </conditionalFormatting>
  <conditionalFormatting sqref="AI13">
    <cfRule type="duplicateValues" dxfId="5552" priority="1352"/>
  </conditionalFormatting>
  <conditionalFormatting sqref="AI13">
    <cfRule type="duplicateValues" dxfId="5551" priority="1351"/>
  </conditionalFormatting>
  <conditionalFormatting sqref="AI13">
    <cfRule type="duplicateValues" dxfId="5550" priority="1350"/>
  </conditionalFormatting>
  <conditionalFormatting sqref="AI13">
    <cfRule type="duplicateValues" dxfId="5549" priority="1349"/>
  </conditionalFormatting>
  <conditionalFormatting sqref="AI13">
    <cfRule type="duplicateValues" dxfId="5548" priority="1348"/>
  </conditionalFormatting>
  <conditionalFormatting sqref="AI13">
    <cfRule type="duplicateValues" dxfId="5547" priority="1347"/>
  </conditionalFormatting>
  <conditionalFormatting sqref="AI13">
    <cfRule type="duplicateValues" dxfId="5546" priority="1346"/>
  </conditionalFormatting>
  <conditionalFormatting sqref="AI13">
    <cfRule type="duplicateValues" dxfId="5545" priority="1345"/>
  </conditionalFormatting>
  <conditionalFormatting sqref="AI13">
    <cfRule type="duplicateValues" dxfId="5544" priority="1344"/>
  </conditionalFormatting>
  <conditionalFormatting sqref="AI13">
    <cfRule type="duplicateValues" dxfId="5543" priority="1343"/>
  </conditionalFormatting>
  <conditionalFormatting sqref="AI13">
    <cfRule type="duplicateValues" dxfId="5542" priority="1342"/>
  </conditionalFormatting>
  <conditionalFormatting sqref="AI13">
    <cfRule type="duplicateValues" dxfId="5541" priority="1341"/>
  </conditionalFormatting>
  <conditionalFormatting sqref="AI13">
    <cfRule type="duplicateValues" dxfId="5540" priority="1340"/>
  </conditionalFormatting>
  <conditionalFormatting sqref="AI13">
    <cfRule type="duplicateValues" dxfId="5539" priority="1339"/>
  </conditionalFormatting>
  <conditionalFormatting sqref="AI13">
    <cfRule type="duplicateValues" dxfId="5538" priority="1338"/>
  </conditionalFormatting>
  <conditionalFormatting sqref="AI13">
    <cfRule type="duplicateValues" dxfId="5537" priority="1337"/>
  </conditionalFormatting>
  <conditionalFormatting sqref="AI13">
    <cfRule type="duplicateValues" dxfId="5536" priority="1336"/>
  </conditionalFormatting>
  <conditionalFormatting sqref="AI13">
    <cfRule type="duplicateValues" dxfId="5535" priority="1334" stopIfTrue="1"/>
    <cfRule type="duplicateValues" dxfId="5534" priority="1335"/>
  </conditionalFormatting>
  <conditionalFormatting sqref="AI13">
    <cfRule type="duplicateValues" dxfId="5533" priority="1333"/>
  </conditionalFormatting>
  <conditionalFormatting sqref="AI13">
    <cfRule type="duplicateValues" dxfId="5532" priority="1332"/>
  </conditionalFormatting>
  <conditionalFormatting sqref="AI13">
    <cfRule type="duplicateValues" dxfId="5531" priority="1331"/>
  </conditionalFormatting>
  <conditionalFormatting sqref="AI13">
    <cfRule type="duplicateValues" dxfId="5530" priority="1330"/>
  </conditionalFormatting>
  <conditionalFormatting sqref="AI13">
    <cfRule type="duplicateValues" dxfId="5529" priority="1328" stopIfTrue="1"/>
    <cfRule type="duplicateValues" dxfId="5528" priority="1329"/>
  </conditionalFormatting>
  <conditionalFormatting sqref="AI13">
    <cfRule type="duplicateValues" dxfId="5527" priority="1327"/>
  </conditionalFormatting>
  <conditionalFormatting sqref="AI13">
    <cfRule type="duplicateValues" dxfId="5526" priority="1326"/>
  </conditionalFormatting>
  <conditionalFormatting sqref="AI13">
    <cfRule type="duplicateValues" dxfId="5525" priority="1325"/>
  </conditionalFormatting>
  <conditionalFormatting sqref="AI13">
    <cfRule type="duplicateValues" dxfId="5524" priority="1323" stopIfTrue="1"/>
    <cfRule type="duplicateValues" dxfId="5523" priority="1324"/>
  </conditionalFormatting>
  <conditionalFormatting sqref="AI13">
    <cfRule type="duplicateValues" dxfId="5522" priority="1322"/>
  </conditionalFormatting>
  <conditionalFormatting sqref="AI13">
    <cfRule type="duplicateValues" dxfId="5521" priority="1320" stopIfTrue="1"/>
    <cfRule type="duplicateValues" dxfId="5520" priority="1321"/>
  </conditionalFormatting>
  <conditionalFormatting sqref="AI13">
    <cfRule type="duplicateValues" dxfId="5519" priority="1319"/>
  </conditionalFormatting>
  <conditionalFormatting sqref="AI13">
    <cfRule type="duplicateValues" dxfId="5518" priority="1317" stopIfTrue="1"/>
    <cfRule type="duplicateValues" dxfId="5517" priority="1318"/>
  </conditionalFormatting>
  <conditionalFormatting sqref="AI13">
    <cfRule type="duplicateValues" dxfId="5516" priority="1316"/>
  </conditionalFormatting>
  <conditionalFormatting sqref="AI13">
    <cfRule type="duplicateValues" dxfId="5515" priority="1314" stopIfTrue="1"/>
    <cfRule type="duplicateValues" dxfId="5514" priority="1315"/>
  </conditionalFormatting>
  <conditionalFormatting sqref="AI13">
    <cfRule type="duplicateValues" dxfId="5513" priority="1313"/>
  </conditionalFormatting>
  <conditionalFormatting sqref="AI13">
    <cfRule type="duplicateValues" dxfId="5512" priority="1311" stopIfTrue="1"/>
    <cfRule type="duplicateValues" dxfId="5511" priority="1312"/>
  </conditionalFormatting>
  <conditionalFormatting sqref="AI13">
    <cfRule type="duplicateValues" dxfId="5510" priority="1310"/>
  </conditionalFormatting>
  <conditionalFormatting sqref="AI13">
    <cfRule type="duplicateValues" dxfId="5509" priority="1309"/>
  </conditionalFormatting>
  <conditionalFormatting sqref="AI13">
    <cfRule type="duplicateValues" dxfId="5508" priority="1308"/>
  </conditionalFormatting>
  <conditionalFormatting sqref="AI13">
    <cfRule type="duplicateValues" dxfId="5507" priority="1307"/>
  </conditionalFormatting>
  <conditionalFormatting sqref="AI13">
    <cfRule type="duplicateValues" dxfId="5506" priority="1306"/>
  </conditionalFormatting>
  <conditionalFormatting sqref="AI13">
    <cfRule type="duplicateValues" dxfId="5505" priority="1305"/>
  </conditionalFormatting>
  <conditionalFormatting sqref="AI13">
    <cfRule type="duplicateValues" dxfId="5504" priority="1303" stopIfTrue="1"/>
    <cfRule type="duplicateValues" dxfId="5503" priority="1304"/>
  </conditionalFormatting>
  <conditionalFormatting sqref="AI13">
    <cfRule type="duplicateValues" dxfId="5502" priority="1302"/>
  </conditionalFormatting>
  <conditionalFormatting sqref="AI13">
    <cfRule type="duplicateValues" dxfId="5501" priority="1300" stopIfTrue="1"/>
    <cfRule type="duplicateValues" dxfId="5500" priority="1301"/>
  </conditionalFormatting>
  <conditionalFormatting sqref="AI13">
    <cfRule type="duplicateValues" dxfId="5499" priority="1299"/>
  </conditionalFormatting>
  <conditionalFormatting sqref="AI13">
    <cfRule type="duplicateValues" dxfId="5498" priority="1297" stopIfTrue="1"/>
    <cfRule type="duplicateValues" dxfId="5497" priority="1298"/>
  </conditionalFormatting>
  <conditionalFormatting sqref="AI13">
    <cfRule type="duplicateValues" dxfId="5496" priority="1296"/>
  </conditionalFormatting>
  <conditionalFormatting sqref="AI13">
    <cfRule type="duplicateValues" dxfId="5495" priority="1294" stopIfTrue="1"/>
    <cfRule type="duplicateValues" dxfId="5494" priority="1295"/>
  </conditionalFormatting>
  <conditionalFormatting sqref="AI13">
    <cfRule type="duplicateValues" dxfId="5493" priority="1293"/>
  </conditionalFormatting>
  <conditionalFormatting sqref="AI13">
    <cfRule type="duplicateValues" dxfId="5492" priority="1291" stopIfTrue="1"/>
    <cfRule type="duplicateValues" dxfId="5491" priority="1292"/>
  </conditionalFormatting>
  <conditionalFormatting sqref="AI13">
    <cfRule type="duplicateValues" dxfId="5490" priority="1290"/>
  </conditionalFormatting>
  <conditionalFormatting sqref="AI13">
    <cfRule type="duplicateValues" dxfId="5489" priority="1289"/>
  </conditionalFormatting>
  <conditionalFormatting sqref="AI13">
    <cfRule type="duplicateValues" dxfId="5488" priority="1288"/>
  </conditionalFormatting>
  <conditionalFormatting sqref="AI13">
    <cfRule type="duplicateValues" dxfId="5487" priority="1287"/>
  </conditionalFormatting>
  <conditionalFormatting sqref="AI13">
    <cfRule type="duplicateValues" dxfId="5486" priority="1286"/>
  </conditionalFormatting>
  <conditionalFormatting sqref="AI13">
    <cfRule type="duplicateValues" dxfId="5485" priority="1285"/>
  </conditionalFormatting>
  <conditionalFormatting sqref="AI13">
    <cfRule type="duplicateValues" dxfId="5484" priority="1284"/>
  </conditionalFormatting>
  <conditionalFormatting sqref="AI13">
    <cfRule type="duplicateValues" dxfId="5483" priority="1283"/>
  </conditionalFormatting>
  <conditionalFormatting sqref="AI13">
    <cfRule type="duplicateValues" dxfId="5482" priority="1282"/>
  </conditionalFormatting>
  <conditionalFormatting sqref="AI13">
    <cfRule type="duplicateValues" dxfId="5481" priority="1281"/>
  </conditionalFormatting>
  <conditionalFormatting sqref="AI13">
    <cfRule type="duplicateValues" dxfId="5480" priority="1280"/>
  </conditionalFormatting>
  <conditionalFormatting sqref="AI13">
    <cfRule type="duplicateValues" dxfId="5479" priority="1279"/>
  </conditionalFormatting>
  <conditionalFormatting sqref="AI13">
    <cfRule type="duplicateValues" dxfId="5478" priority="1278"/>
  </conditionalFormatting>
  <conditionalFormatting sqref="AI13">
    <cfRule type="duplicateValues" dxfId="5477" priority="1277"/>
  </conditionalFormatting>
  <conditionalFormatting sqref="AI13">
    <cfRule type="duplicateValues" dxfId="5476" priority="1276"/>
  </conditionalFormatting>
  <conditionalFormatting sqref="AI13">
    <cfRule type="duplicateValues" dxfId="5475" priority="1275"/>
  </conditionalFormatting>
  <conditionalFormatting sqref="AI13">
    <cfRule type="duplicateValues" dxfId="5474" priority="1274"/>
  </conditionalFormatting>
  <conditionalFormatting sqref="AI13">
    <cfRule type="duplicateValues" dxfId="5473" priority="1273"/>
  </conditionalFormatting>
  <conditionalFormatting sqref="AI13">
    <cfRule type="duplicateValues" dxfId="5472" priority="1272"/>
  </conditionalFormatting>
  <conditionalFormatting sqref="AI13">
    <cfRule type="duplicateValues" dxfId="5471" priority="1271"/>
  </conditionalFormatting>
  <conditionalFormatting sqref="AI13">
    <cfRule type="duplicateValues" dxfId="5470" priority="1270"/>
  </conditionalFormatting>
  <conditionalFormatting sqref="AI13">
    <cfRule type="duplicateValues" dxfId="5469" priority="1269"/>
  </conditionalFormatting>
  <conditionalFormatting sqref="AI13">
    <cfRule type="duplicateValues" dxfId="5468" priority="1268"/>
  </conditionalFormatting>
  <conditionalFormatting sqref="AI13">
    <cfRule type="duplicateValues" dxfId="5467" priority="1267"/>
  </conditionalFormatting>
  <conditionalFormatting sqref="AI13">
    <cfRule type="duplicateValues" dxfId="5466" priority="1266"/>
  </conditionalFormatting>
  <conditionalFormatting sqref="AI13">
    <cfRule type="duplicateValues" dxfId="5465" priority="1265"/>
  </conditionalFormatting>
  <conditionalFormatting sqref="AI13">
    <cfRule type="duplicateValues" dxfId="5464" priority="1264"/>
  </conditionalFormatting>
  <conditionalFormatting sqref="AI13">
    <cfRule type="duplicateValues" dxfId="5463" priority="1263"/>
  </conditionalFormatting>
  <conditionalFormatting sqref="AI13">
    <cfRule type="duplicateValues" dxfId="5462" priority="1262"/>
  </conditionalFormatting>
  <conditionalFormatting sqref="AI13">
    <cfRule type="duplicateValues" dxfId="5461" priority="1261"/>
  </conditionalFormatting>
  <conditionalFormatting sqref="AI13">
    <cfRule type="duplicateValues" dxfId="5460" priority="1260"/>
  </conditionalFormatting>
  <conditionalFormatting sqref="AI13">
    <cfRule type="duplicateValues" dxfId="5459" priority="1259"/>
  </conditionalFormatting>
  <conditionalFormatting sqref="AI13">
    <cfRule type="duplicateValues" dxfId="5458" priority="1258"/>
  </conditionalFormatting>
  <conditionalFormatting sqref="AI13">
    <cfRule type="duplicateValues" dxfId="5457" priority="1257"/>
  </conditionalFormatting>
  <conditionalFormatting sqref="AI13">
    <cfRule type="duplicateValues" dxfId="5456" priority="1256"/>
  </conditionalFormatting>
  <conditionalFormatting sqref="AI13">
    <cfRule type="duplicateValues" dxfId="5455" priority="1255"/>
  </conditionalFormatting>
  <conditionalFormatting sqref="AI13">
    <cfRule type="duplicateValues" dxfId="5454" priority="1254"/>
  </conditionalFormatting>
  <conditionalFormatting sqref="AI13">
    <cfRule type="duplicateValues" dxfId="5453" priority="1253"/>
  </conditionalFormatting>
  <conditionalFormatting sqref="AI13">
    <cfRule type="duplicateValues" dxfId="5452" priority="1252"/>
  </conditionalFormatting>
  <conditionalFormatting sqref="AI13">
    <cfRule type="duplicateValues" dxfId="5451" priority="1251"/>
  </conditionalFormatting>
  <conditionalFormatting sqref="AI13">
    <cfRule type="duplicateValues" dxfId="5450" priority="1249" stopIfTrue="1"/>
    <cfRule type="duplicateValues" dxfId="5449" priority="1250"/>
  </conditionalFormatting>
  <conditionalFormatting sqref="AI13">
    <cfRule type="duplicateValues" dxfId="5448" priority="1248"/>
  </conditionalFormatting>
  <conditionalFormatting sqref="AI13">
    <cfRule type="duplicateValues" dxfId="5447" priority="1247"/>
  </conditionalFormatting>
  <conditionalFormatting sqref="AI13">
    <cfRule type="duplicateValues" dxfId="5446" priority="1246"/>
  </conditionalFormatting>
  <conditionalFormatting sqref="AI13">
    <cfRule type="duplicateValues" dxfId="5445" priority="1245"/>
  </conditionalFormatting>
  <conditionalFormatting sqref="AI13">
    <cfRule type="duplicateValues" dxfId="5444" priority="1243" stopIfTrue="1"/>
    <cfRule type="duplicateValues" dxfId="5443" priority="1244"/>
  </conditionalFormatting>
  <conditionalFormatting sqref="AI13">
    <cfRule type="duplicateValues" dxfId="5442" priority="1242"/>
  </conditionalFormatting>
  <conditionalFormatting sqref="AI13">
    <cfRule type="duplicateValues" dxfId="5441" priority="1240" stopIfTrue="1"/>
    <cfRule type="duplicateValues" dxfId="5440" priority="1241"/>
  </conditionalFormatting>
  <conditionalFormatting sqref="AI13">
    <cfRule type="duplicateValues" dxfId="5439" priority="1239"/>
  </conditionalFormatting>
  <conditionalFormatting sqref="AI13">
    <cfRule type="duplicateValues" dxfId="5438" priority="1237" stopIfTrue="1"/>
    <cfRule type="duplicateValues" dxfId="5437" priority="1238"/>
  </conditionalFormatting>
  <conditionalFormatting sqref="AI13">
    <cfRule type="duplicateValues" dxfId="5436" priority="1236"/>
  </conditionalFormatting>
  <conditionalFormatting sqref="AI13">
    <cfRule type="duplicateValues" dxfId="5435" priority="1234" stopIfTrue="1"/>
    <cfRule type="duplicateValues" dxfId="5434" priority="1235"/>
  </conditionalFormatting>
  <conditionalFormatting sqref="AI13">
    <cfRule type="duplicateValues" dxfId="5433" priority="1233"/>
  </conditionalFormatting>
  <conditionalFormatting sqref="AI13">
    <cfRule type="duplicateValues" dxfId="5432" priority="1231" stopIfTrue="1"/>
    <cfRule type="duplicateValues" dxfId="5431" priority="1232"/>
  </conditionalFormatting>
  <conditionalFormatting sqref="AI13">
    <cfRule type="duplicateValues" dxfId="5430" priority="1230"/>
  </conditionalFormatting>
  <conditionalFormatting sqref="AI13">
    <cfRule type="duplicateValues" dxfId="5429" priority="1229"/>
  </conditionalFormatting>
  <conditionalFormatting sqref="AI13">
    <cfRule type="duplicateValues" dxfId="5428" priority="1228"/>
  </conditionalFormatting>
  <conditionalFormatting sqref="AI13">
    <cfRule type="duplicateValues" dxfId="5427" priority="1227"/>
  </conditionalFormatting>
  <conditionalFormatting sqref="AI13">
    <cfRule type="duplicateValues" dxfId="5426" priority="1226"/>
  </conditionalFormatting>
  <conditionalFormatting sqref="AI13">
    <cfRule type="duplicateValues" dxfId="5425" priority="1225"/>
  </conditionalFormatting>
  <conditionalFormatting sqref="AI13">
    <cfRule type="duplicateValues" dxfId="5424" priority="1224"/>
  </conditionalFormatting>
  <conditionalFormatting sqref="AI13">
    <cfRule type="duplicateValues" dxfId="5423" priority="1223"/>
  </conditionalFormatting>
  <conditionalFormatting sqref="AI13">
    <cfRule type="duplicateValues" dxfId="5422" priority="1222"/>
  </conditionalFormatting>
  <conditionalFormatting sqref="AI13">
    <cfRule type="duplicateValues" dxfId="5421" priority="1221"/>
  </conditionalFormatting>
  <conditionalFormatting sqref="AI13">
    <cfRule type="duplicateValues" dxfId="5420" priority="1220"/>
  </conditionalFormatting>
  <conditionalFormatting sqref="AI13">
    <cfRule type="duplicateValues" dxfId="5419" priority="1219"/>
  </conditionalFormatting>
  <conditionalFormatting sqref="AI13">
    <cfRule type="duplicateValues" dxfId="5418" priority="1218"/>
  </conditionalFormatting>
  <conditionalFormatting sqref="AI13">
    <cfRule type="duplicateValues" dxfId="5417" priority="1217"/>
  </conditionalFormatting>
  <conditionalFormatting sqref="AI13">
    <cfRule type="duplicateValues" dxfId="5416" priority="1216"/>
  </conditionalFormatting>
  <conditionalFormatting sqref="AI13">
    <cfRule type="duplicateValues" dxfId="5415" priority="1215"/>
  </conditionalFormatting>
  <conditionalFormatting sqref="AI13">
    <cfRule type="duplicateValues" dxfId="5414" priority="1214"/>
  </conditionalFormatting>
  <conditionalFormatting sqref="AI13">
    <cfRule type="duplicateValues" dxfId="5413" priority="1213"/>
  </conditionalFormatting>
  <conditionalFormatting sqref="AI13">
    <cfRule type="duplicateValues" dxfId="5412" priority="1212"/>
  </conditionalFormatting>
  <conditionalFormatting sqref="AI13">
    <cfRule type="duplicateValues" dxfId="5411" priority="1211"/>
  </conditionalFormatting>
  <conditionalFormatting sqref="AI13">
    <cfRule type="duplicateValues" dxfId="5410" priority="1210"/>
  </conditionalFormatting>
  <conditionalFormatting sqref="AI13">
    <cfRule type="duplicateValues" dxfId="5409" priority="1209"/>
  </conditionalFormatting>
  <conditionalFormatting sqref="AI13">
    <cfRule type="duplicateValues" dxfId="5408" priority="1208"/>
  </conditionalFormatting>
  <conditionalFormatting sqref="AI13">
    <cfRule type="duplicateValues" dxfId="5407" priority="1207"/>
  </conditionalFormatting>
  <conditionalFormatting sqref="AI13">
    <cfRule type="duplicateValues" dxfId="5406" priority="1206"/>
  </conditionalFormatting>
  <conditionalFormatting sqref="AI13">
    <cfRule type="duplicateValues" dxfId="5405" priority="1205"/>
  </conditionalFormatting>
  <conditionalFormatting sqref="AI13">
    <cfRule type="duplicateValues" dxfId="5404" priority="1204"/>
  </conditionalFormatting>
  <conditionalFormatting sqref="AI13">
    <cfRule type="duplicateValues" dxfId="5403" priority="1203"/>
  </conditionalFormatting>
  <conditionalFormatting sqref="AI13">
    <cfRule type="duplicateValues" dxfId="5402" priority="1202"/>
  </conditionalFormatting>
  <conditionalFormatting sqref="AI13">
    <cfRule type="duplicateValues" dxfId="5401" priority="1201"/>
  </conditionalFormatting>
  <conditionalFormatting sqref="AI13">
    <cfRule type="duplicateValues" dxfId="5400" priority="1200"/>
  </conditionalFormatting>
  <conditionalFormatting sqref="AI13">
    <cfRule type="duplicateValues" dxfId="5399" priority="1199"/>
  </conditionalFormatting>
  <conditionalFormatting sqref="AI13">
    <cfRule type="duplicateValues" dxfId="5398" priority="1198"/>
  </conditionalFormatting>
  <conditionalFormatting sqref="AI13">
    <cfRule type="duplicateValues" dxfId="5397" priority="1197"/>
  </conditionalFormatting>
  <conditionalFormatting sqref="AI13">
    <cfRule type="duplicateValues" dxfId="5396" priority="1196"/>
  </conditionalFormatting>
  <conditionalFormatting sqref="AI13">
    <cfRule type="duplicateValues" dxfId="5395" priority="1195"/>
  </conditionalFormatting>
  <conditionalFormatting sqref="AI13">
    <cfRule type="duplicateValues" dxfId="5394" priority="1194"/>
  </conditionalFormatting>
  <conditionalFormatting sqref="AI13">
    <cfRule type="duplicateValues" dxfId="5393" priority="1193"/>
  </conditionalFormatting>
  <conditionalFormatting sqref="AI13">
    <cfRule type="duplicateValues" dxfId="5392" priority="1192"/>
  </conditionalFormatting>
  <conditionalFormatting sqref="AI13">
    <cfRule type="duplicateValues" dxfId="5391" priority="1191"/>
  </conditionalFormatting>
  <conditionalFormatting sqref="AI13">
    <cfRule type="duplicateValues" dxfId="5390" priority="1189" stopIfTrue="1"/>
    <cfRule type="duplicateValues" dxfId="5389" priority="1190"/>
  </conditionalFormatting>
  <conditionalFormatting sqref="AI13">
    <cfRule type="duplicateValues" dxfId="5388" priority="1188"/>
  </conditionalFormatting>
  <conditionalFormatting sqref="AI13">
    <cfRule type="duplicateValues" dxfId="5387" priority="1187"/>
  </conditionalFormatting>
  <conditionalFormatting sqref="AI13">
    <cfRule type="duplicateValues" dxfId="5386" priority="1186"/>
  </conditionalFormatting>
  <conditionalFormatting sqref="AI13">
    <cfRule type="duplicateValues" dxfId="5385" priority="1185"/>
  </conditionalFormatting>
  <conditionalFormatting sqref="AI13">
    <cfRule type="duplicateValues" dxfId="5384" priority="1183" stopIfTrue="1"/>
    <cfRule type="duplicateValues" dxfId="5383" priority="1184"/>
  </conditionalFormatting>
  <conditionalFormatting sqref="AI13">
    <cfRule type="duplicateValues" dxfId="5382" priority="1182"/>
  </conditionalFormatting>
  <conditionalFormatting sqref="AI13">
    <cfRule type="duplicateValues" dxfId="5381" priority="1180" stopIfTrue="1"/>
    <cfRule type="duplicateValues" dxfId="5380" priority="1181"/>
  </conditionalFormatting>
  <conditionalFormatting sqref="AI13">
    <cfRule type="duplicateValues" dxfId="5379" priority="1179"/>
  </conditionalFormatting>
  <conditionalFormatting sqref="AI13">
    <cfRule type="duplicateValues" dxfId="5378" priority="1178"/>
  </conditionalFormatting>
  <conditionalFormatting sqref="AI13">
    <cfRule type="duplicateValues" dxfId="5377" priority="1177"/>
  </conditionalFormatting>
  <conditionalFormatting sqref="AI13">
    <cfRule type="duplicateValues" dxfId="5376" priority="1176"/>
  </conditionalFormatting>
  <conditionalFormatting sqref="AI13">
    <cfRule type="duplicateValues" dxfId="5375" priority="1175"/>
  </conditionalFormatting>
  <conditionalFormatting sqref="AI13">
    <cfRule type="duplicateValues" dxfId="5374" priority="1173" stopIfTrue="1"/>
    <cfRule type="duplicateValues" dxfId="5373" priority="1174"/>
  </conditionalFormatting>
  <conditionalFormatting sqref="AI13">
    <cfRule type="duplicateValues" dxfId="5372" priority="1172"/>
  </conditionalFormatting>
  <conditionalFormatting sqref="AI13">
    <cfRule type="duplicateValues" dxfId="5371" priority="1170" stopIfTrue="1"/>
    <cfRule type="duplicateValues" dxfId="5370" priority="1171"/>
  </conditionalFormatting>
  <conditionalFormatting sqref="AI13">
    <cfRule type="duplicateValues" dxfId="5369" priority="1169"/>
  </conditionalFormatting>
  <conditionalFormatting sqref="AI13">
    <cfRule type="duplicateValues" dxfId="5368" priority="1167" stopIfTrue="1"/>
    <cfRule type="duplicateValues" dxfId="5367" priority="1168"/>
  </conditionalFormatting>
  <conditionalFormatting sqref="AI13">
    <cfRule type="duplicateValues" dxfId="5366" priority="1166"/>
  </conditionalFormatting>
  <conditionalFormatting sqref="AI13">
    <cfRule type="duplicateValues" dxfId="5365" priority="1164" stopIfTrue="1"/>
    <cfRule type="duplicateValues" dxfId="5364" priority="1165"/>
  </conditionalFormatting>
  <conditionalFormatting sqref="AI13">
    <cfRule type="duplicateValues" dxfId="5363" priority="1163"/>
  </conditionalFormatting>
  <conditionalFormatting sqref="AI13">
    <cfRule type="duplicateValues" dxfId="5362" priority="1161" stopIfTrue="1"/>
    <cfRule type="duplicateValues" dxfId="5361" priority="1162"/>
  </conditionalFormatting>
  <conditionalFormatting sqref="AI13">
    <cfRule type="duplicateValues" dxfId="5360" priority="1160"/>
  </conditionalFormatting>
  <conditionalFormatting sqref="AI13">
    <cfRule type="duplicateValues" dxfId="5359" priority="1158" stopIfTrue="1"/>
    <cfRule type="duplicateValues" dxfId="5358" priority="1159"/>
  </conditionalFormatting>
  <conditionalFormatting sqref="AI13">
    <cfRule type="duplicateValues" dxfId="5357" priority="1157"/>
  </conditionalFormatting>
  <conditionalFormatting sqref="AI13">
    <cfRule type="duplicateValues" dxfId="5356" priority="1155" stopIfTrue="1"/>
    <cfRule type="duplicateValues" dxfId="5355" priority="1156"/>
  </conditionalFormatting>
  <conditionalFormatting sqref="AI13">
    <cfRule type="duplicateValues" dxfId="5354" priority="1154"/>
  </conditionalFormatting>
  <conditionalFormatting sqref="AI13">
    <cfRule type="duplicateValues" dxfId="5353" priority="1153"/>
  </conditionalFormatting>
  <conditionalFormatting sqref="AI13">
    <cfRule type="duplicateValues" dxfId="5352" priority="1152"/>
  </conditionalFormatting>
  <conditionalFormatting sqref="AI13">
    <cfRule type="duplicateValues" dxfId="5351" priority="1150" stopIfTrue="1"/>
    <cfRule type="duplicateValues" dxfId="5350" priority="1151"/>
  </conditionalFormatting>
  <conditionalFormatting sqref="AI13">
    <cfRule type="duplicateValues" dxfId="5349" priority="1149"/>
  </conditionalFormatting>
  <conditionalFormatting sqref="AI13">
    <cfRule type="duplicateValues" dxfId="5348" priority="1147" stopIfTrue="1"/>
    <cfRule type="duplicateValues" dxfId="5347" priority="1148"/>
  </conditionalFormatting>
  <conditionalFormatting sqref="AI13">
    <cfRule type="duplicateValues" dxfId="5346" priority="1146"/>
  </conditionalFormatting>
  <conditionalFormatting sqref="AI13">
    <cfRule type="duplicateValues" dxfId="5345" priority="1144" stopIfTrue="1"/>
    <cfRule type="duplicateValues" dxfId="5344" priority="1145"/>
  </conditionalFormatting>
  <conditionalFormatting sqref="AI13">
    <cfRule type="duplicateValues" dxfId="5343" priority="1143"/>
  </conditionalFormatting>
  <conditionalFormatting sqref="AI13">
    <cfRule type="duplicateValues" dxfId="5342" priority="1141" stopIfTrue="1"/>
    <cfRule type="duplicateValues" dxfId="5341" priority="1142"/>
  </conditionalFormatting>
  <conditionalFormatting sqref="AI13">
    <cfRule type="duplicateValues" dxfId="5340" priority="1140"/>
  </conditionalFormatting>
  <conditionalFormatting sqref="AI13">
    <cfRule type="duplicateValues" dxfId="5339" priority="1138" stopIfTrue="1"/>
    <cfRule type="duplicateValues" dxfId="5338" priority="1139"/>
  </conditionalFormatting>
  <conditionalFormatting sqref="AI13">
    <cfRule type="duplicateValues" dxfId="5337" priority="1137"/>
  </conditionalFormatting>
  <conditionalFormatting sqref="AI13">
    <cfRule type="duplicateValues" dxfId="5336" priority="1136"/>
  </conditionalFormatting>
  <conditionalFormatting sqref="AI13">
    <cfRule type="duplicateValues" dxfId="5335" priority="1135"/>
  </conditionalFormatting>
  <conditionalFormatting sqref="AI13">
    <cfRule type="duplicateValues" dxfId="5334" priority="1134"/>
  </conditionalFormatting>
  <conditionalFormatting sqref="AI13">
    <cfRule type="duplicateValues" dxfId="5333" priority="1133"/>
  </conditionalFormatting>
  <conditionalFormatting sqref="AI13">
    <cfRule type="duplicateValues" dxfId="5332" priority="1132"/>
  </conditionalFormatting>
  <conditionalFormatting sqref="AI13">
    <cfRule type="duplicateValues" dxfId="5331" priority="1130" stopIfTrue="1"/>
    <cfRule type="duplicateValues" dxfId="5330" priority="1131"/>
  </conditionalFormatting>
  <conditionalFormatting sqref="AI13">
    <cfRule type="duplicateValues" dxfId="5329" priority="1129"/>
  </conditionalFormatting>
  <conditionalFormatting sqref="AI13">
    <cfRule type="duplicateValues" dxfId="5328" priority="1127" stopIfTrue="1"/>
    <cfRule type="duplicateValues" dxfId="5327" priority="1128"/>
  </conditionalFormatting>
  <conditionalFormatting sqref="AI13">
    <cfRule type="duplicateValues" dxfId="5326" priority="1126"/>
  </conditionalFormatting>
  <conditionalFormatting sqref="AI13">
    <cfRule type="duplicateValues" dxfId="5325" priority="1124" stopIfTrue="1"/>
    <cfRule type="duplicateValues" dxfId="5324" priority="1125"/>
  </conditionalFormatting>
  <conditionalFormatting sqref="AI13">
    <cfRule type="duplicateValues" dxfId="5323" priority="1123"/>
  </conditionalFormatting>
  <conditionalFormatting sqref="AI13">
    <cfRule type="duplicateValues" dxfId="5322" priority="1121" stopIfTrue="1"/>
    <cfRule type="duplicateValues" dxfId="5321" priority="1122"/>
  </conditionalFormatting>
  <conditionalFormatting sqref="AI13">
    <cfRule type="duplicateValues" dxfId="5320" priority="1120"/>
  </conditionalFormatting>
  <conditionalFormatting sqref="AI13">
    <cfRule type="duplicateValues" dxfId="5319" priority="1118" stopIfTrue="1"/>
    <cfRule type="duplicateValues" dxfId="5318" priority="1119"/>
  </conditionalFormatting>
  <conditionalFormatting sqref="AI13">
    <cfRule type="duplicateValues" dxfId="5317" priority="1117"/>
  </conditionalFormatting>
  <conditionalFormatting sqref="AI13">
    <cfRule type="duplicateValues" dxfId="5316" priority="1116"/>
  </conditionalFormatting>
  <conditionalFormatting sqref="AI13">
    <cfRule type="duplicateValues" dxfId="5315" priority="1115"/>
  </conditionalFormatting>
  <conditionalFormatting sqref="AI13">
    <cfRule type="duplicateValues" dxfId="5314" priority="1114"/>
  </conditionalFormatting>
  <conditionalFormatting sqref="AI13">
    <cfRule type="duplicateValues" dxfId="5313" priority="1113"/>
  </conditionalFormatting>
  <conditionalFormatting sqref="AI13">
    <cfRule type="duplicateValues" dxfId="5312" priority="1112"/>
  </conditionalFormatting>
  <conditionalFormatting sqref="AI13">
    <cfRule type="duplicateValues" dxfId="5311" priority="1110" stopIfTrue="1"/>
    <cfRule type="duplicateValues" dxfId="5310" priority="1111"/>
  </conditionalFormatting>
  <conditionalFormatting sqref="AI13">
    <cfRule type="duplicateValues" dxfId="5309" priority="1109"/>
  </conditionalFormatting>
  <conditionalFormatting sqref="AI13">
    <cfRule type="duplicateValues" dxfId="5308" priority="1107" stopIfTrue="1"/>
    <cfRule type="duplicateValues" dxfId="5307" priority="1108"/>
  </conditionalFormatting>
  <conditionalFormatting sqref="AI13">
    <cfRule type="duplicateValues" dxfId="5306" priority="1106"/>
  </conditionalFormatting>
  <conditionalFormatting sqref="AI13">
    <cfRule type="duplicateValues" dxfId="5305" priority="1104" stopIfTrue="1"/>
    <cfRule type="duplicateValues" dxfId="5304" priority="1105"/>
  </conditionalFormatting>
  <conditionalFormatting sqref="AI13">
    <cfRule type="duplicateValues" dxfId="5303" priority="1103"/>
  </conditionalFormatting>
  <conditionalFormatting sqref="AI13">
    <cfRule type="duplicateValues" dxfId="5302" priority="1101" stopIfTrue="1"/>
    <cfRule type="duplicateValues" dxfId="5301" priority="1102"/>
  </conditionalFormatting>
  <conditionalFormatting sqref="AI13">
    <cfRule type="duplicateValues" dxfId="5300" priority="1100"/>
  </conditionalFormatting>
  <conditionalFormatting sqref="AI13">
    <cfRule type="duplicateValues" dxfId="5299" priority="1098" stopIfTrue="1"/>
    <cfRule type="duplicateValues" dxfId="5298" priority="1099"/>
  </conditionalFormatting>
  <conditionalFormatting sqref="AI13">
    <cfRule type="duplicateValues" dxfId="5297" priority="1097"/>
  </conditionalFormatting>
  <conditionalFormatting sqref="AI13">
    <cfRule type="duplicateValues" dxfId="5296" priority="1096"/>
  </conditionalFormatting>
  <conditionalFormatting sqref="AI13">
    <cfRule type="duplicateValues" dxfId="5295" priority="1095"/>
  </conditionalFormatting>
  <conditionalFormatting sqref="AI13">
    <cfRule type="duplicateValues" dxfId="5294" priority="1094"/>
  </conditionalFormatting>
  <conditionalFormatting sqref="AI13">
    <cfRule type="duplicateValues" dxfId="5293" priority="1093"/>
  </conditionalFormatting>
  <conditionalFormatting sqref="AI13">
    <cfRule type="duplicateValues" dxfId="5292" priority="1092"/>
  </conditionalFormatting>
  <conditionalFormatting sqref="AI13">
    <cfRule type="duplicateValues" dxfId="5291" priority="1091"/>
  </conditionalFormatting>
  <conditionalFormatting sqref="AI13">
    <cfRule type="duplicateValues" dxfId="5290" priority="1090"/>
  </conditionalFormatting>
  <conditionalFormatting sqref="AI13">
    <cfRule type="duplicateValues" dxfId="5289" priority="1089"/>
  </conditionalFormatting>
  <conditionalFormatting sqref="AI13">
    <cfRule type="duplicateValues" dxfId="5288" priority="1088"/>
  </conditionalFormatting>
  <conditionalFormatting sqref="AI13">
    <cfRule type="duplicateValues" dxfId="5287" priority="1087"/>
  </conditionalFormatting>
  <conditionalFormatting sqref="AI13">
    <cfRule type="duplicateValues" dxfId="5286" priority="1086"/>
  </conditionalFormatting>
  <conditionalFormatting sqref="AI13">
    <cfRule type="duplicateValues" dxfId="5285" priority="1085"/>
  </conditionalFormatting>
  <conditionalFormatting sqref="AI13">
    <cfRule type="duplicateValues" dxfId="5284" priority="1084"/>
  </conditionalFormatting>
  <conditionalFormatting sqref="AI13">
    <cfRule type="duplicateValues" dxfId="5283" priority="1083"/>
  </conditionalFormatting>
  <conditionalFormatting sqref="AI13">
    <cfRule type="duplicateValues" dxfId="5282" priority="1082"/>
  </conditionalFormatting>
  <conditionalFormatting sqref="AI13">
    <cfRule type="duplicateValues" dxfId="5281" priority="1081"/>
  </conditionalFormatting>
  <conditionalFormatting sqref="AI13">
    <cfRule type="duplicateValues" dxfId="5280" priority="1080"/>
  </conditionalFormatting>
  <conditionalFormatting sqref="AI13">
    <cfRule type="duplicateValues" dxfId="5279" priority="1079"/>
  </conditionalFormatting>
  <conditionalFormatting sqref="AI13">
    <cfRule type="duplicateValues" dxfId="5278" priority="1078"/>
  </conditionalFormatting>
  <conditionalFormatting sqref="AI13">
    <cfRule type="duplicateValues" dxfId="5277" priority="1077"/>
  </conditionalFormatting>
  <conditionalFormatting sqref="AI13">
    <cfRule type="duplicateValues" dxfId="5276" priority="1076"/>
  </conditionalFormatting>
  <conditionalFormatting sqref="AI13">
    <cfRule type="duplicateValues" dxfId="5275" priority="1075"/>
  </conditionalFormatting>
  <conditionalFormatting sqref="AI13">
    <cfRule type="duplicateValues" dxfId="5274" priority="1074"/>
  </conditionalFormatting>
  <conditionalFormatting sqref="AI13">
    <cfRule type="duplicateValues" dxfId="5273" priority="1073"/>
  </conditionalFormatting>
  <conditionalFormatting sqref="AI13">
    <cfRule type="duplicateValues" dxfId="5272" priority="1072"/>
  </conditionalFormatting>
  <conditionalFormatting sqref="AI13">
    <cfRule type="duplicateValues" dxfId="5271" priority="1071"/>
  </conditionalFormatting>
  <conditionalFormatting sqref="AI13">
    <cfRule type="duplicateValues" dxfId="5270" priority="1070"/>
  </conditionalFormatting>
  <conditionalFormatting sqref="AI13">
    <cfRule type="duplicateValues" dxfId="5269" priority="1069"/>
  </conditionalFormatting>
  <conditionalFormatting sqref="AI13">
    <cfRule type="duplicateValues" dxfId="5268" priority="1068"/>
  </conditionalFormatting>
  <conditionalFormatting sqref="AI13">
    <cfRule type="duplicateValues" dxfId="5267" priority="1067"/>
  </conditionalFormatting>
  <conditionalFormatting sqref="AI13">
    <cfRule type="duplicateValues" dxfId="5266" priority="1066"/>
  </conditionalFormatting>
  <conditionalFormatting sqref="AI13">
    <cfRule type="duplicateValues" dxfId="5265" priority="1065"/>
  </conditionalFormatting>
  <conditionalFormatting sqref="AI13">
    <cfRule type="duplicateValues" dxfId="5264" priority="1064"/>
  </conditionalFormatting>
  <conditionalFormatting sqref="AI13">
    <cfRule type="duplicateValues" dxfId="5263" priority="1063"/>
  </conditionalFormatting>
  <conditionalFormatting sqref="AI13">
    <cfRule type="duplicateValues" dxfId="5262" priority="1062"/>
  </conditionalFormatting>
  <conditionalFormatting sqref="AI13">
    <cfRule type="duplicateValues" dxfId="5261" priority="1061"/>
  </conditionalFormatting>
  <conditionalFormatting sqref="AI13">
    <cfRule type="duplicateValues" dxfId="5260" priority="1060"/>
  </conditionalFormatting>
  <conditionalFormatting sqref="AI13">
    <cfRule type="duplicateValues" dxfId="5259" priority="1059"/>
  </conditionalFormatting>
  <conditionalFormatting sqref="AI13">
    <cfRule type="duplicateValues" dxfId="5258" priority="1058"/>
  </conditionalFormatting>
  <conditionalFormatting sqref="AI13">
    <cfRule type="duplicateValues" dxfId="5257" priority="1056" stopIfTrue="1"/>
    <cfRule type="duplicateValues" dxfId="5256" priority="1057"/>
  </conditionalFormatting>
  <conditionalFormatting sqref="AI13">
    <cfRule type="duplicateValues" dxfId="5255" priority="1055"/>
  </conditionalFormatting>
  <conditionalFormatting sqref="AI13">
    <cfRule type="duplicateValues" dxfId="5254" priority="1054"/>
  </conditionalFormatting>
  <conditionalFormatting sqref="AI13">
    <cfRule type="duplicateValues" dxfId="5253" priority="1053"/>
  </conditionalFormatting>
  <conditionalFormatting sqref="AI13">
    <cfRule type="duplicateValues" dxfId="5252" priority="1052"/>
  </conditionalFormatting>
  <conditionalFormatting sqref="AI13">
    <cfRule type="duplicateValues" dxfId="5251" priority="1050" stopIfTrue="1"/>
    <cfRule type="duplicateValues" dxfId="5250" priority="1051"/>
  </conditionalFormatting>
  <conditionalFormatting sqref="AI13">
    <cfRule type="duplicateValues" dxfId="5249" priority="1049"/>
  </conditionalFormatting>
  <conditionalFormatting sqref="AI13">
    <cfRule type="duplicateValues" dxfId="5248" priority="1047" stopIfTrue="1"/>
    <cfRule type="duplicateValues" dxfId="5247" priority="1048"/>
  </conditionalFormatting>
  <conditionalFormatting sqref="AI13">
    <cfRule type="duplicateValues" dxfId="5246" priority="1046"/>
  </conditionalFormatting>
  <conditionalFormatting sqref="AI13">
    <cfRule type="duplicateValues" dxfId="5245" priority="1044" stopIfTrue="1"/>
    <cfRule type="duplicateValues" dxfId="5244" priority="1045"/>
  </conditionalFormatting>
  <conditionalFormatting sqref="AI13">
    <cfRule type="duplicateValues" dxfId="5243" priority="1043"/>
  </conditionalFormatting>
  <conditionalFormatting sqref="AI13">
    <cfRule type="duplicateValues" dxfId="5242" priority="1041" stopIfTrue="1"/>
    <cfRule type="duplicateValues" dxfId="5241" priority="1042"/>
  </conditionalFormatting>
  <conditionalFormatting sqref="AI13">
    <cfRule type="duplicateValues" dxfId="5240" priority="1040"/>
  </conditionalFormatting>
  <conditionalFormatting sqref="AI13">
    <cfRule type="duplicateValues" dxfId="5239" priority="1038" stopIfTrue="1"/>
    <cfRule type="duplicateValues" dxfId="5238" priority="1039"/>
  </conditionalFormatting>
  <conditionalFormatting sqref="AI13">
    <cfRule type="duplicateValues" dxfId="5237" priority="1037"/>
  </conditionalFormatting>
  <conditionalFormatting sqref="AI13">
    <cfRule type="duplicateValues" dxfId="5236" priority="1036"/>
  </conditionalFormatting>
  <conditionalFormatting sqref="AI13">
    <cfRule type="duplicateValues" dxfId="5235" priority="1035"/>
  </conditionalFormatting>
  <conditionalFormatting sqref="AI13">
    <cfRule type="duplicateValues" dxfId="5234" priority="1034"/>
  </conditionalFormatting>
  <conditionalFormatting sqref="AI13">
    <cfRule type="duplicateValues" dxfId="5233" priority="1033"/>
  </conditionalFormatting>
  <conditionalFormatting sqref="AI13">
    <cfRule type="duplicateValues" dxfId="5232" priority="1032"/>
  </conditionalFormatting>
  <conditionalFormatting sqref="AI13">
    <cfRule type="duplicateValues" dxfId="5231" priority="1030" stopIfTrue="1"/>
    <cfRule type="duplicateValues" dxfId="5230" priority="1031"/>
  </conditionalFormatting>
  <conditionalFormatting sqref="AI13">
    <cfRule type="duplicateValues" dxfId="5229" priority="1029"/>
  </conditionalFormatting>
  <conditionalFormatting sqref="AI13">
    <cfRule type="duplicateValues" dxfId="5228" priority="1027" stopIfTrue="1"/>
    <cfRule type="duplicateValues" dxfId="5227" priority="1028"/>
  </conditionalFormatting>
  <conditionalFormatting sqref="AI13">
    <cfRule type="duplicateValues" dxfId="5226" priority="1026"/>
  </conditionalFormatting>
  <conditionalFormatting sqref="AI13">
    <cfRule type="duplicateValues" dxfId="5225" priority="1024" stopIfTrue="1"/>
    <cfRule type="duplicateValues" dxfId="5224" priority="1025"/>
  </conditionalFormatting>
  <conditionalFormatting sqref="AI13">
    <cfRule type="duplicateValues" dxfId="5223" priority="1023"/>
  </conditionalFormatting>
  <conditionalFormatting sqref="AI13">
    <cfRule type="duplicateValues" dxfId="5222" priority="1021" stopIfTrue="1"/>
    <cfRule type="duplicateValues" dxfId="5221" priority="1022"/>
  </conditionalFormatting>
  <conditionalFormatting sqref="AI13">
    <cfRule type="duplicateValues" dxfId="5220" priority="1020"/>
  </conditionalFormatting>
  <conditionalFormatting sqref="AI13">
    <cfRule type="duplicateValues" dxfId="5219" priority="1018" stopIfTrue="1"/>
    <cfRule type="duplicateValues" dxfId="5218" priority="1019"/>
  </conditionalFormatting>
  <conditionalFormatting sqref="AI13">
    <cfRule type="duplicateValues" dxfId="5217" priority="1017"/>
  </conditionalFormatting>
  <conditionalFormatting sqref="AI13">
    <cfRule type="duplicateValues" dxfId="5216" priority="1016"/>
  </conditionalFormatting>
  <conditionalFormatting sqref="AI13">
    <cfRule type="duplicateValues" dxfId="5215" priority="1015"/>
  </conditionalFormatting>
  <conditionalFormatting sqref="AI13">
    <cfRule type="duplicateValues" dxfId="5214" priority="1014"/>
  </conditionalFormatting>
  <conditionalFormatting sqref="AI13">
    <cfRule type="duplicateValues" dxfId="5213" priority="1013"/>
  </conditionalFormatting>
  <conditionalFormatting sqref="AI13">
    <cfRule type="duplicateValues" dxfId="5212" priority="1012"/>
  </conditionalFormatting>
  <conditionalFormatting sqref="AI13">
    <cfRule type="duplicateValues" dxfId="5211" priority="1011"/>
  </conditionalFormatting>
  <conditionalFormatting sqref="AI13">
    <cfRule type="duplicateValues" dxfId="5210" priority="1010"/>
  </conditionalFormatting>
  <conditionalFormatting sqref="AI13">
    <cfRule type="duplicateValues" dxfId="5209" priority="1009"/>
  </conditionalFormatting>
  <conditionalFormatting sqref="AI13">
    <cfRule type="duplicateValues" dxfId="5208" priority="1008"/>
  </conditionalFormatting>
  <conditionalFormatting sqref="AI13">
    <cfRule type="duplicateValues" dxfId="5207" priority="1007"/>
  </conditionalFormatting>
  <conditionalFormatting sqref="AI13">
    <cfRule type="duplicateValues" dxfId="5206" priority="1006"/>
  </conditionalFormatting>
  <conditionalFormatting sqref="AI13">
    <cfRule type="duplicateValues" dxfId="5205" priority="1005"/>
  </conditionalFormatting>
  <conditionalFormatting sqref="AI13">
    <cfRule type="duplicateValues" dxfId="5204" priority="1004"/>
  </conditionalFormatting>
  <conditionalFormatting sqref="AI13">
    <cfRule type="duplicateValues" dxfId="5203" priority="1003"/>
  </conditionalFormatting>
  <conditionalFormatting sqref="AI13">
    <cfRule type="duplicateValues" dxfId="5202" priority="1002"/>
  </conditionalFormatting>
  <conditionalFormatting sqref="AI13">
    <cfRule type="duplicateValues" dxfId="5201" priority="1001"/>
  </conditionalFormatting>
  <conditionalFormatting sqref="AI13">
    <cfRule type="duplicateValues" dxfId="5200" priority="1000"/>
  </conditionalFormatting>
  <conditionalFormatting sqref="AI13">
    <cfRule type="duplicateValues" dxfId="5199" priority="999"/>
  </conditionalFormatting>
  <conditionalFormatting sqref="AI13">
    <cfRule type="duplicateValues" dxfId="5198" priority="998"/>
  </conditionalFormatting>
  <conditionalFormatting sqref="AI13">
    <cfRule type="duplicateValues" dxfId="5197" priority="997"/>
  </conditionalFormatting>
  <conditionalFormatting sqref="AI13">
    <cfRule type="duplicateValues" dxfId="5196" priority="996"/>
  </conditionalFormatting>
  <conditionalFormatting sqref="AI13">
    <cfRule type="duplicateValues" dxfId="5195" priority="995"/>
  </conditionalFormatting>
  <conditionalFormatting sqref="AI13">
    <cfRule type="duplicateValues" dxfId="5194" priority="994"/>
  </conditionalFormatting>
  <conditionalFormatting sqref="AI13">
    <cfRule type="duplicateValues" dxfId="5193" priority="993"/>
  </conditionalFormatting>
  <conditionalFormatting sqref="AI13">
    <cfRule type="duplicateValues" dxfId="5192" priority="992"/>
  </conditionalFormatting>
  <conditionalFormatting sqref="AI13">
    <cfRule type="duplicateValues" dxfId="5191" priority="991"/>
  </conditionalFormatting>
  <conditionalFormatting sqref="AI13">
    <cfRule type="duplicateValues" dxfId="5190" priority="990"/>
  </conditionalFormatting>
  <conditionalFormatting sqref="AI13">
    <cfRule type="duplicateValues" dxfId="5189" priority="989"/>
  </conditionalFormatting>
  <conditionalFormatting sqref="AI13">
    <cfRule type="duplicateValues" dxfId="5188" priority="988"/>
  </conditionalFormatting>
  <conditionalFormatting sqref="AI13">
    <cfRule type="duplicateValues" dxfId="5187" priority="987"/>
  </conditionalFormatting>
  <conditionalFormatting sqref="AI13">
    <cfRule type="duplicateValues" dxfId="5186" priority="986"/>
  </conditionalFormatting>
  <conditionalFormatting sqref="AI13">
    <cfRule type="duplicateValues" dxfId="5185" priority="985"/>
  </conditionalFormatting>
  <conditionalFormatting sqref="AI13">
    <cfRule type="duplicateValues" dxfId="5184" priority="984"/>
  </conditionalFormatting>
  <conditionalFormatting sqref="AI13">
    <cfRule type="duplicateValues" dxfId="5183" priority="983"/>
  </conditionalFormatting>
  <conditionalFormatting sqref="AI13">
    <cfRule type="duplicateValues" dxfId="5182" priority="982"/>
  </conditionalFormatting>
  <conditionalFormatting sqref="AI13">
    <cfRule type="duplicateValues" dxfId="5181" priority="981"/>
  </conditionalFormatting>
  <conditionalFormatting sqref="AI13">
    <cfRule type="duplicateValues" dxfId="5180" priority="980"/>
  </conditionalFormatting>
  <conditionalFormatting sqref="AI13">
    <cfRule type="duplicateValues" dxfId="5179" priority="979"/>
  </conditionalFormatting>
  <conditionalFormatting sqref="AI13">
    <cfRule type="duplicateValues" dxfId="5178" priority="978"/>
  </conditionalFormatting>
  <conditionalFormatting sqref="AI13">
    <cfRule type="duplicateValues" dxfId="5177" priority="976" stopIfTrue="1"/>
    <cfRule type="duplicateValues" dxfId="5176" priority="977"/>
  </conditionalFormatting>
  <conditionalFormatting sqref="AI13">
    <cfRule type="duplicateValues" dxfId="5175" priority="975"/>
  </conditionalFormatting>
  <conditionalFormatting sqref="AI13">
    <cfRule type="duplicateValues" dxfId="5174" priority="974"/>
  </conditionalFormatting>
  <conditionalFormatting sqref="AI13">
    <cfRule type="duplicateValues" dxfId="5173" priority="973"/>
  </conditionalFormatting>
  <conditionalFormatting sqref="AI13">
    <cfRule type="duplicateValues" dxfId="5172" priority="972"/>
  </conditionalFormatting>
  <conditionalFormatting sqref="AI13">
    <cfRule type="duplicateValues" dxfId="5171" priority="970" stopIfTrue="1"/>
    <cfRule type="duplicateValues" dxfId="5170" priority="971"/>
  </conditionalFormatting>
  <conditionalFormatting sqref="AI13">
    <cfRule type="duplicateValues" dxfId="5169" priority="969"/>
  </conditionalFormatting>
  <conditionalFormatting sqref="AI13">
    <cfRule type="duplicateValues" dxfId="5168" priority="967" stopIfTrue="1"/>
    <cfRule type="duplicateValues" dxfId="5167" priority="968"/>
  </conditionalFormatting>
  <conditionalFormatting sqref="AI13">
    <cfRule type="duplicateValues" dxfId="5166" priority="966"/>
  </conditionalFormatting>
  <conditionalFormatting sqref="AI13">
    <cfRule type="duplicateValues" dxfId="5165" priority="964" stopIfTrue="1"/>
    <cfRule type="duplicateValues" dxfId="5164" priority="965"/>
  </conditionalFormatting>
  <conditionalFormatting sqref="AI13">
    <cfRule type="duplicateValues" dxfId="5163" priority="963"/>
  </conditionalFormatting>
  <conditionalFormatting sqref="AI13">
    <cfRule type="duplicateValues" dxfId="5162" priority="961" stopIfTrue="1"/>
    <cfRule type="duplicateValues" dxfId="5161" priority="962"/>
  </conditionalFormatting>
  <conditionalFormatting sqref="AI13">
    <cfRule type="duplicateValues" dxfId="5160" priority="960"/>
  </conditionalFormatting>
  <conditionalFormatting sqref="AI13">
    <cfRule type="duplicateValues" dxfId="5159" priority="958" stopIfTrue="1"/>
    <cfRule type="duplicateValues" dxfId="5158" priority="959"/>
  </conditionalFormatting>
  <conditionalFormatting sqref="AI13">
    <cfRule type="duplicateValues" dxfId="5157" priority="957"/>
  </conditionalFormatting>
  <conditionalFormatting sqref="AI13">
    <cfRule type="duplicateValues" dxfId="5156" priority="956"/>
  </conditionalFormatting>
  <conditionalFormatting sqref="AI13">
    <cfRule type="duplicateValues" dxfId="5155" priority="955"/>
  </conditionalFormatting>
  <conditionalFormatting sqref="AI13">
    <cfRule type="duplicateValues" dxfId="5154" priority="954"/>
  </conditionalFormatting>
  <conditionalFormatting sqref="AI13">
    <cfRule type="duplicateValues" dxfId="5153" priority="953"/>
  </conditionalFormatting>
  <conditionalFormatting sqref="AI13">
    <cfRule type="duplicateValues" dxfId="5152" priority="952"/>
  </conditionalFormatting>
  <conditionalFormatting sqref="AI13">
    <cfRule type="duplicateValues" dxfId="5151" priority="951"/>
  </conditionalFormatting>
  <conditionalFormatting sqref="AI13">
    <cfRule type="duplicateValues" dxfId="5150" priority="950"/>
  </conditionalFormatting>
  <conditionalFormatting sqref="AI13">
    <cfRule type="duplicateValues" dxfId="5149" priority="949"/>
  </conditionalFormatting>
  <conditionalFormatting sqref="AI13">
    <cfRule type="duplicateValues" dxfId="5148" priority="948"/>
  </conditionalFormatting>
  <conditionalFormatting sqref="AI13">
    <cfRule type="duplicateValues" dxfId="5147" priority="947"/>
  </conditionalFormatting>
  <conditionalFormatting sqref="AI13">
    <cfRule type="duplicateValues" dxfId="5146" priority="946"/>
  </conditionalFormatting>
  <conditionalFormatting sqref="AI13">
    <cfRule type="duplicateValues" dxfId="5145" priority="945"/>
  </conditionalFormatting>
  <conditionalFormatting sqref="AI13">
    <cfRule type="duplicateValues" dxfId="5144" priority="944"/>
  </conditionalFormatting>
  <conditionalFormatting sqref="AI13">
    <cfRule type="duplicateValues" dxfId="5143" priority="943"/>
  </conditionalFormatting>
  <conditionalFormatting sqref="AI13">
    <cfRule type="duplicateValues" dxfId="5142" priority="942"/>
  </conditionalFormatting>
  <conditionalFormatting sqref="AI13">
    <cfRule type="duplicateValues" dxfId="5141" priority="941"/>
  </conditionalFormatting>
  <conditionalFormatting sqref="AI13">
    <cfRule type="duplicateValues" dxfId="5140" priority="940"/>
  </conditionalFormatting>
  <conditionalFormatting sqref="AI13">
    <cfRule type="duplicateValues" dxfId="5139" priority="939"/>
  </conditionalFormatting>
  <conditionalFormatting sqref="AI13">
    <cfRule type="duplicateValues" dxfId="5138" priority="938"/>
  </conditionalFormatting>
  <conditionalFormatting sqref="AI13">
    <cfRule type="duplicateValues" dxfId="5137" priority="937"/>
  </conditionalFormatting>
  <conditionalFormatting sqref="AI13">
    <cfRule type="duplicateValues" dxfId="5136" priority="936"/>
  </conditionalFormatting>
  <conditionalFormatting sqref="AI13">
    <cfRule type="duplicateValues" dxfId="5135" priority="935"/>
  </conditionalFormatting>
  <conditionalFormatting sqref="AI13">
    <cfRule type="duplicateValues" dxfId="5134" priority="934"/>
  </conditionalFormatting>
  <conditionalFormatting sqref="AI13">
    <cfRule type="duplicateValues" dxfId="5133" priority="933"/>
  </conditionalFormatting>
  <conditionalFormatting sqref="AI13">
    <cfRule type="duplicateValues" dxfId="5132" priority="932"/>
  </conditionalFormatting>
  <conditionalFormatting sqref="AI13">
    <cfRule type="duplicateValues" dxfId="5131" priority="931"/>
  </conditionalFormatting>
  <conditionalFormatting sqref="AI13">
    <cfRule type="duplicateValues" dxfId="5130" priority="930"/>
  </conditionalFormatting>
  <conditionalFormatting sqref="AI13">
    <cfRule type="duplicateValues" dxfId="5129" priority="929"/>
  </conditionalFormatting>
  <conditionalFormatting sqref="AI13">
    <cfRule type="duplicateValues" dxfId="5128" priority="928"/>
  </conditionalFormatting>
  <conditionalFormatting sqref="AI13">
    <cfRule type="duplicateValues" dxfId="5127" priority="927"/>
  </conditionalFormatting>
  <conditionalFormatting sqref="AI13">
    <cfRule type="duplicateValues" dxfId="5126" priority="926"/>
  </conditionalFormatting>
  <conditionalFormatting sqref="AI13">
    <cfRule type="duplicateValues" dxfId="5125" priority="925"/>
  </conditionalFormatting>
  <conditionalFormatting sqref="AI13">
    <cfRule type="duplicateValues" dxfId="5124" priority="924"/>
  </conditionalFormatting>
  <conditionalFormatting sqref="AI13">
    <cfRule type="duplicateValues" dxfId="5123" priority="923"/>
  </conditionalFormatting>
  <conditionalFormatting sqref="AI13">
    <cfRule type="duplicateValues" dxfId="5122" priority="922"/>
  </conditionalFormatting>
  <conditionalFormatting sqref="AI13">
    <cfRule type="duplicateValues" dxfId="5121" priority="921"/>
  </conditionalFormatting>
  <conditionalFormatting sqref="AI13">
    <cfRule type="duplicateValues" dxfId="5120" priority="920"/>
  </conditionalFormatting>
  <conditionalFormatting sqref="AI13">
    <cfRule type="duplicateValues" dxfId="5119" priority="919"/>
  </conditionalFormatting>
  <conditionalFormatting sqref="AI13">
    <cfRule type="duplicateValues" dxfId="5118" priority="918"/>
  </conditionalFormatting>
  <conditionalFormatting sqref="AI13">
    <cfRule type="duplicateValues" dxfId="5117" priority="916" stopIfTrue="1"/>
    <cfRule type="duplicateValues" dxfId="5116" priority="917"/>
  </conditionalFormatting>
  <conditionalFormatting sqref="AI13">
    <cfRule type="duplicateValues" dxfId="5115" priority="915"/>
  </conditionalFormatting>
  <conditionalFormatting sqref="AI13">
    <cfRule type="duplicateValues" dxfId="5114" priority="914"/>
  </conditionalFormatting>
  <conditionalFormatting sqref="AI13">
    <cfRule type="duplicateValues" dxfId="5113" priority="913"/>
  </conditionalFormatting>
  <conditionalFormatting sqref="AI13">
    <cfRule type="duplicateValues" dxfId="5112" priority="912"/>
  </conditionalFormatting>
  <conditionalFormatting sqref="AI13">
    <cfRule type="duplicateValues" dxfId="5111" priority="910" stopIfTrue="1"/>
    <cfRule type="duplicateValues" dxfId="5110" priority="911"/>
  </conditionalFormatting>
  <conditionalFormatting sqref="AI13">
    <cfRule type="duplicateValues" dxfId="5109" priority="909"/>
  </conditionalFormatting>
  <conditionalFormatting sqref="AI13">
    <cfRule type="duplicateValues" dxfId="5108" priority="908"/>
  </conditionalFormatting>
  <conditionalFormatting sqref="AI13">
    <cfRule type="duplicateValues" dxfId="5107" priority="907"/>
  </conditionalFormatting>
  <conditionalFormatting sqref="AI13">
    <cfRule type="duplicateValues" dxfId="5106" priority="905" stopIfTrue="1"/>
    <cfRule type="duplicateValues" dxfId="5105" priority="906"/>
  </conditionalFormatting>
  <conditionalFormatting sqref="AI13">
    <cfRule type="duplicateValues" dxfId="5104" priority="904"/>
  </conditionalFormatting>
  <conditionalFormatting sqref="AI13">
    <cfRule type="duplicateValues" dxfId="5103" priority="902" stopIfTrue="1"/>
    <cfRule type="duplicateValues" dxfId="5102" priority="903"/>
  </conditionalFormatting>
  <conditionalFormatting sqref="AI13">
    <cfRule type="duplicateValues" dxfId="5101" priority="901"/>
  </conditionalFormatting>
  <conditionalFormatting sqref="AI13">
    <cfRule type="duplicateValues" dxfId="5100" priority="899" stopIfTrue="1"/>
    <cfRule type="duplicateValues" dxfId="5099" priority="900"/>
  </conditionalFormatting>
  <conditionalFormatting sqref="AI13">
    <cfRule type="duplicateValues" dxfId="5098" priority="898"/>
  </conditionalFormatting>
  <conditionalFormatting sqref="AI13">
    <cfRule type="duplicateValues" dxfId="5097" priority="896" stopIfTrue="1"/>
    <cfRule type="duplicateValues" dxfId="5096" priority="897"/>
  </conditionalFormatting>
  <conditionalFormatting sqref="AI13">
    <cfRule type="duplicateValues" dxfId="5095" priority="895"/>
  </conditionalFormatting>
  <conditionalFormatting sqref="AI13">
    <cfRule type="duplicateValues" dxfId="5094" priority="893" stopIfTrue="1"/>
    <cfRule type="duplicateValues" dxfId="5093" priority="894"/>
  </conditionalFormatting>
  <conditionalFormatting sqref="AI13">
    <cfRule type="duplicateValues" dxfId="5092" priority="892"/>
  </conditionalFormatting>
  <conditionalFormatting sqref="AI13">
    <cfRule type="duplicateValues" dxfId="5091" priority="891"/>
  </conditionalFormatting>
  <conditionalFormatting sqref="AI13">
    <cfRule type="duplicateValues" dxfId="5090" priority="890"/>
  </conditionalFormatting>
  <conditionalFormatting sqref="AI13">
    <cfRule type="duplicateValues" dxfId="5089" priority="889"/>
  </conditionalFormatting>
  <conditionalFormatting sqref="AI13">
    <cfRule type="duplicateValues" dxfId="5088" priority="888"/>
  </conditionalFormatting>
  <conditionalFormatting sqref="AI13">
    <cfRule type="duplicateValues" dxfId="5087" priority="887"/>
  </conditionalFormatting>
  <conditionalFormatting sqref="AI13">
    <cfRule type="duplicateValues" dxfId="5086" priority="885" stopIfTrue="1"/>
    <cfRule type="duplicateValues" dxfId="5085" priority="886"/>
  </conditionalFormatting>
  <conditionalFormatting sqref="AI13">
    <cfRule type="duplicateValues" dxfId="5084" priority="884"/>
  </conditionalFormatting>
  <conditionalFormatting sqref="AI13">
    <cfRule type="duplicateValues" dxfId="5083" priority="882" stopIfTrue="1"/>
    <cfRule type="duplicateValues" dxfId="5082" priority="883"/>
  </conditionalFormatting>
  <conditionalFormatting sqref="AI13">
    <cfRule type="duplicateValues" dxfId="5081" priority="881"/>
  </conditionalFormatting>
  <conditionalFormatting sqref="AI13">
    <cfRule type="duplicateValues" dxfId="5080" priority="879" stopIfTrue="1"/>
    <cfRule type="duplicateValues" dxfId="5079" priority="880"/>
  </conditionalFormatting>
  <conditionalFormatting sqref="AI13">
    <cfRule type="duplicateValues" dxfId="5078" priority="878"/>
  </conditionalFormatting>
  <conditionalFormatting sqref="AI13">
    <cfRule type="duplicateValues" dxfId="5077" priority="876" stopIfTrue="1"/>
    <cfRule type="duplicateValues" dxfId="5076" priority="877"/>
  </conditionalFormatting>
  <conditionalFormatting sqref="AI13">
    <cfRule type="duplicateValues" dxfId="5075" priority="875"/>
  </conditionalFormatting>
  <conditionalFormatting sqref="AI13">
    <cfRule type="duplicateValues" dxfId="5074" priority="873" stopIfTrue="1"/>
    <cfRule type="duplicateValues" dxfId="5073" priority="874"/>
  </conditionalFormatting>
  <conditionalFormatting sqref="AI13">
    <cfRule type="duplicateValues" dxfId="5072" priority="872"/>
  </conditionalFormatting>
  <conditionalFormatting sqref="AI13">
    <cfRule type="duplicateValues" dxfId="5071" priority="871"/>
  </conditionalFormatting>
  <conditionalFormatting sqref="AI13">
    <cfRule type="duplicateValues" dxfId="5070" priority="870"/>
  </conditionalFormatting>
  <conditionalFormatting sqref="AI13">
    <cfRule type="duplicateValues" dxfId="5069" priority="869"/>
  </conditionalFormatting>
  <conditionalFormatting sqref="AI13">
    <cfRule type="duplicateValues" dxfId="5068" priority="868"/>
  </conditionalFormatting>
  <conditionalFormatting sqref="AI13">
    <cfRule type="duplicateValues" dxfId="5067" priority="867"/>
  </conditionalFormatting>
  <conditionalFormatting sqref="AI13">
    <cfRule type="duplicateValues" dxfId="5066" priority="866"/>
  </conditionalFormatting>
  <conditionalFormatting sqref="AI13">
    <cfRule type="duplicateValues" dxfId="5065" priority="865"/>
  </conditionalFormatting>
  <conditionalFormatting sqref="AI13">
    <cfRule type="duplicateValues" dxfId="5064" priority="864"/>
  </conditionalFormatting>
  <conditionalFormatting sqref="AI13">
    <cfRule type="duplicateValues" dxfId="5063" priority="863"/>
  </conditionalFormatting>
  <conditionalFormatting sqref="AI13">
    <cfRule type="duplicateValues" dxfId="5062" priority="862"/>
  </conditionalFormatting>
  <conditionalFormatting sqref="AI13">
    <cfRule type="duplicateValues" dxfId="5061" priority="861"/>
  </conditionalFormatting>
  <conditionalFormatting sqref="AI13">
    <cfRule type="duplicateValues" dxfId="5060" priority="860"/>
  </conditionalFormatting>
  <conditionalFormatting sqref="AI13">
    <cfRule type="duplicateValues" dxfId="5059" priority="859"/>
  </conditionalFormatting>
  <conditionalFormatting sqref="AI13">
    <cfRule type="duplicateValues" dxfId="5058" priority="858"/>
  </conditionalFormatting>
  <conditionalFormatting sqref="AI13">
    <cfRule type="duplicateValues" dxfId="5057" priority="857"/>
  </conditionalFormatting>
  <conditionalFormatting sqref="AI13">
    <cfRule type="duplicateValues" dxfId="5056" priority="856"/>
  </conditionalFormatting>
  <conditionalFormatting sqref="AI13">
    <cfRule type="duplicateValues" dxfId="5055" priority="855"/>
  </conditionalFormatting>
  <conditionalFormatting sqref="AI13">
    <cfRule type="duplicateValues" dxfId="5054" priority="854"/>
  </conditionalFormatting>
  <conditionalFormatting sqref="AI13">
    <cfRule type="duplicateValues" dxfId="5053" priority="853"/>
  </conditionalFormatting>
  <conditionalFormatting sqref="AI13">
    <cfRule type="duplicateValues" dxfId="5052" priority="852"/>
  </conditionalFormatting>
  <conditionalFormatting sqref="AI13">
    <cfRule type="duplicateValues" dxfId="5051" priority="851"/>
  </conditionalFormatting>
  <conditionalFormatting sqref="AI13">
    <cfRule type="duplicateValues" dxfId="5050" priority="850"/>
  </conditionalFormatting>
  <conditionalFormatting sqref="AI13">
    <cfRule type="duplicateValues" dxfId="5049" priority="849"/>
  </conditionalFormatting>
  <conditionalFormatting sqref="AI13">
    <cfRule type="duplicateValues" dxfId="5048" priority="848"/>
  </conditionalFormatting>
  <conditionalFormatting sqref="AI13">
    <cfRule type="duplicateValues" dxfId="5047" priority="847"/>
  </conditionalFormatting>
  <conditionalFormatting sqref="AI13">
    <cfRule type="duplicateValues" dxfId="5046" priority="846"/>
  </conditionalFormatting>
  <conditionalFormatting sqref="AI13">
    <cfRule type="duplicateValues" dxfId="5045" priority="845"/>
  </conditionalFormatting>
  <conditionalFormatting sqref="AI13">
    <cfRule type="duplicateValues" dxfId="5044" priority="844"/>
  </conditionalFormatting>
  <conditionalFormatting sqref="AI13">
    <cfRule type="duplicateValues" dxfId="5043" priority="843"/>
  </conditionalFormatting>
  <conditionalFormatting sqref="AI13">
    <cfRule type="duplicateValues" dxfId="5042" priority="842"/>
  </conditionalFormatting>
  <conditionalFormatting sqref="AI13">
    <cfRule type="duplicateValues" dxfId="5041" priority="841"/>
  </conditionalFormatting>
  <conditionalFormatting sqref="AI13">
    <cfRule type="duplicateValues" dxfId="5040" priority="840"/>
  </conditionalFormatting>
  <conditionalFormatting sqref="AI13">
    <cfRule type="duplicateValues" dxfId="5039" priority="839"/>
  </conditionalFormatting>
  <conditionalFormatting sqref="AI13">
    <cfRule type="duplicateValues" dxfId="5038" priority="838"/>
  </conditionalFormatting>
  <conditionalFormatting sqref="AI13">
    <cfRule type="duplicateValues" dxfId="5037" priority="837"/>
  </conditionalFormatting>
  <conditionalFormatting sqref="AI13">
    <cfRule type="duplicateValues" dxfId="5036" priority="836"/>
  </conditionalFormatting>
  <conditionalFormatting sqref="AI13">
    <cfRule type="duplicateValues" dxfId="5035" priority="835"/>
  </conditionalFormatting>
  <conditionalFormatting sqref="AI13">
    <cfRule type="duplicateValues" dxfId="5034" priority="834"/>
  </conditionalFormatting>
  <conditionalFormatting sqref="AI13">
    <cfRule type="duplicateValues" dxfId="5033" priority="833"/>
  </conditionalFormatting>
  <conditionalFormatting sqref="AI13">
    <cfRule type="duplicateValues" dxfId="5032" priority="831" stopIfTrue="1"/>
    <cfRule type="duplicateValues" dxfId="5031" priority="832"/>
  </conditionalFormatting>
  <conditionalFormatting sqref="AI13">
    <cfRule type="duplicateValues" dxfId="5030" priority="830"/>
  </conditionalFormatting>
  <conditionalFormatting sqref="AI13">
    <cfRule type="duplicateValues" dxfId="5029" priority="829"/>
  </conditionalFormatting>
  <conditionalFormatting sqref="AI13">
    <cfRule type="duplicateValues" dxfId="5028" priority="828"/>
  </conditionalFormatting>
  <conditionalFormatting sqref="AI13">
    <cfRule type="duplicateValues" dxfId="5027" priority="827"/>
  </conditionalFormatting>
  <conditionalFormatting sqref="AI13">
    <cfRule type="duplicateValues" dxfId="5026" priority="825" stopIfTrue="1"/>
    <cfRule type="duplicateValues" dxfId="5025" priority="826"/>
  </conditionalFormatting>
  <conditionalFormatting sqref="AI13">
    <cfRule type="duplicateValues" dxfId="5024" priority="824"/>
  </conditionalFormatting>
  <conditionalFormatting sqref="AI13">
    <cfRule type="duplicateValues" dxfId="5023" priority="822" stopIfTrue="1"/>
    <cfRule type="duplicateValues" dxfId="5022" priority="823"/>
  </conditionalFormatting>
  <conditionalFormatting sqref="AI13">
    <cfRule type="duplicateValues" dxfId="5021" priority="821"/>
  </conditionalFormatting>
  <conditionalFormatting sqref="AI13">
    <cfRule type="duplicateValues" dxfId="5020" priority="819" stopIfTrue="1"/>
    <cfRule type="duplicateValues" dxfId="5019" priority="820"/>
  </conditionalFormatting>
  <conditionalFormatting sqref="AI13">
    <cfRule type="duplicateValues" dxfId="5018" priority="818"/>
  </conditionalFormatting>
  <conditionalFormatting sqref="AI13">
    <cfRule type="duplicateValues" dxfId="5017" priority="816" stopIfTrue="1"/>
    <cfRule type="duplicateValues" dxfId="5016" priority="817"/>
  </conditionalFormatting>
  <conditionalFormatting sqref="AI13">
    <cfRule type="duplicateValues" dxfId="5015" priority="815"/>
  </conditionalFormatting>
  <conditionalFormatting sqref="AI13">
    <cfRule type="duplicateValues" dxfId="5014" priority="813" stopIfTrue="1"/>
    <cfRule type="duplicateValues" dxfId="5013" priority="814"/>
  </conditionalFormatting>
  <conditionalFormatting sqref="AI13">
    <cfRule type="duplicateValues" dxfId="5012" priority="812"/>
  </conditionalFormatting>
  <conditionalFormatting sqref="AI13">
    <cfRule type="duplicateValues" dxfId="5011" priority="811"/>
  </conditionalFormatting>
  <conditionalFormatting sqref="AI13">
    <cfRule type="duplicateValues" dxfId="5010" priority="810"/>
  </conditionalFormatting>
  <conditionalFormatting sqref="AI13">
    <cfRule type="duplicateValues" dxfId="5009" priority="809"/>
  </conditionalFormatting>
  <conditionalFormatting sqref="AI13">
    <cfRule type="duplicateValues" dxfId="5008" priority="808"/>
  </conditionalFormatting>
  <conditionalFormatting sqref="AI13">
    <cfRule type="duplicateValues" dxfId="5007" priority="807"/>
  </conditionalFormatting>
  <conditionalFormatting sqref="AI13">
    <cfRule type="duplicateValues" dxfId="5006" priority="806"/>
  </conditionalFormatting>
  <conditionalFormatting sqref="AI13">
    <cfRule type="duplicateValues" dxfId="5005" priority="805"/>
  </conditionalFormatting>
  <conditionalFormatting sqref="AI13">
    <cfRule type="duplicateValues" dxfId="5004" priority="804"/>
  </conditionalFormatting>
  <conditionalFormatting sqref="AI13">
    <cfRule type="duplicateValues" dxfId="5003" priority="803"/>
  </conditionalFormatting>
  <conditionalFormatting sqref="AI13">
    <cfRule type="duplicateValues" dxfId="5002" priority="802"/>
  </conditionalFormatting>
  <conditionalFormatting sqref="AI13">
    <cfRule type="duplicateValues" dxfId="5001" priority="801"/>
  </conditionalFormatting>
  <conditionalFormatting sqref="AI13">
    <cfRule type="duplicateValues" dxfId="5000" priority="800"/>
  </conditionalFormatting>
  <conditionalFormatting sqref="AI13">
    <cfRule type="duplicateValues" dxfId="4999" priority="799"/>
  </conditionalFormatting>
  <conditionalFormatting sqref="AI13">
    <cfRule type="duplicateValues" dxfId="4998" priority="798"/>
  </conditionalFormatting>
  <conditionalFormatting sqref="AI13">
    <cfRule type="duplicateValues" dxfId="4997" priority="797"/>
  </conditionalFormatting>
  <conditionalFormatting sqref="AI13">
    <cfRule type="duplicateValues" dxfId="4996" priority="796"/>
  </conditionalFormatting>
  <conditionalFormatting sqref="AI13">
    <cfRule type="duplicateValues" dxfId="4995" priority="795"/>
  </conditionalFormatting>
  <conditionalFormatting sqref="AI13">
    <cfRule type="duplicateValues" dxfId="4994" priority="794"/>
  </conditionalFormatting>
  <conditionalFormatting sqref="AI13">
    <cfRule type="duplicateValues" dxfId="4993" priority="793"/>
  </conditionalFormatting>
  <conditionalFormatting sqref="AI13">
    <cfRule type="duplicateValues" dxfId="4992" priority="792"/>
  </conditionalFormatting>
  <conditionalFormatting sqref="AI13">
    <cfRule type="duplicateValues" dxfId="4991" priority="791"/>
  </conditionalFormatting>
  <conditionalFormatting sqref="AI13">
    <cfRule type="duplicateValues" dxfId="4990" priority="790"/>
  </conditionalFormatting>
  <conditionalFormatting sqref="AI13">
    <cfRule type="duplicateValues" dxfId="4989" priority="789"/>
  </conditionalFormatting>
  <conditionalFormatting sqref="AI13">
    <cfRule type="duplicateValues" dxfId="4988" priority="788"/>
  </conditionalFormatting>
  <conditionalFormatting sqref="AI13">
    <cfRule type="duplicateValues" dxfId="4987" priority="787"/>
  </conditionalFormatting>
  <conditionalFormatting sqref="AI13">
    <cfRule type="duplicateValues" dxfId="4986" priority="786"/>
  </conditionalFormatting>
  <conditionalFormatting sqref="AI13">
    <cfRule type="duplicateValues" dxfId="4985" priority="785"/>
  </conditionalFormatting>
  <conditionalFormatting sqref="AI13">
    <cfRule type="duplicateValues" dxfId="4984" priority="784"/>
  </conditionalFormatting>
  <conditionalFormatting sqref="AI13">
    <cfRule type="duplicateValues" dxfId="4983" priority="783"/>
  </conditionalFormatting>
  <conditionalFormatting sqref="AI13">
    <cfRule type="duplicateValues" dxfId="4982" priority="782"/>
  </conditionalFormatting>
  <conditionalFormatting sqref="AI13">
    <cfRule type="duplicateValues" dxfId="4981" priority="781"/>
  </conditionalFormatting>
  <conditionalFormatting sqref="AI13">
    <cfRule type="duplicateValues" dxfId="4980" priority="780"/>
  </conditionalFormatting>
  <conditionalFormatting sqref="AI13">
    <cfRule type="duplicateValues" dxfId="4979" priority="779"/>
  </conditionalFormatting>
  <conditionalFormatting sqref="AI13">
    <cfRule type="duplicateValues" dxfId="4978" priority="778"/>
  </conditionalFormatting>
  <conditionalFormatting sqref="AI13">
    <cfRule type="duplicateValues" dxfId="4977" priority="777"/>
  </conditionalFormatting>
  <conditionalFormatting sqref="AI13">
    <cfRule type="duplicateValues" dxfId="4976" priority="776"/>
  </conditionalFormatting>
  <conditionalFormatting sqref="AI13">
    <cfRule type="duplicateValues" dxfId="4975" priority="775"/>
  </conditionalFormatting>
  <conditionalFormatting sqref="AI13">
    <cfRule type="duplicateValues" dxfId="4974" priority="774"/>
  </conditionalFormatting>
  <conditionalFormatting sqref="AI13">
    <cfRule type="duplicateValues" dxfId="4973" priority="773"/>
  </conditionalFormatting>
  <conditionalFormatting sqref="AI13">
    <cfRule type="duplicateValues" dxfId="4972" priority="771" stopIfTrue="1"/>
    <cfRule type="duplicateValues" dxfId="4971" priority="772"/>
  </conditionalFormatting>
  <conditionalFormatting sqref="AI13">
    <cfRule type="duplicateValues" dxfId="4970" priority="770"/>
  </conditionalFormatting>
  <conditionalFormatting sqref="AI13">
    <cfRule type="duplicateValues" dxfId="4969" priority="769"/>
  </conditionalFormatting>
  <conditionalFormatting sqref="AI13">
    <cfRule type="duplicateValues" dxfId="4968" priority="768"/>
  </conditionalFormatting>
  <conditionalFormatting sqref="AI13">
    <cfRule type="duplicateValues" dxfId="4967" priority="767"/>
  </conditionalFormatting>
  <conditionalFormatting sqref="AI13">
    <cfRule type="duplicateValues" dxfId="4966" priority="765" stopIfTrue="1"/>
    <cfRule type="duplicateValues" dxfId="4965" priority="766"/>
  </conditionalFormatting>
  <conditionalFormatting sqref="AI13">
    <cfRule type="duplicateValues" dxfId="4964" priority="764"/>
  </conditionalFormatting>
  <conditionalFormatting sqref="AI13">
    <cfRule type="duplicateValues" dxfId="4963" priority="762" stopIfTrue="1"/>
    <cfRule type="duplicateValues" dxfId="4962" priority="763"/>
  </conditionalFormatting>
  <conditionalFormatting sqref="AI13">
    <cfRule type="duplicateValues" dxfId="4961" priority="761"/>
  </conditionalFormatting>
  <conditionalFormatting sqref="AI13">
    <cfRule type="duplicateValues" dxfId="4960" priority="760"/>
  </conditionalFormatting>
  <conditionalFormatting sqref="AI13">
    <cfRule type="duplicateValues" dxfId="4959" priority="759"/>
  </conditionalFormatting>
  <conditionalFormatting sqref="AI13">
    <cfRule type="duplicateValues" dxfId="4958" priority="758"/>
  </conditionalFormatting>
  <conditionalFormatting sqref="AI13">
    <cfRule type="duplicateValues" dxfId="4957" priority="757"/>
  </conditionalFormatting>
  <conditionalFormatting sqref="AI13">
    <cfRule type="duplicateValues" dxfId="4956" priority="755" stopIfTrue="1"/>
    <cfRule type="duplicateValues" dxfId="4955" priority="756"/>
  </conditionalFormatting>
  <conditionalFormatting sqref="AI13">
    <cfRule type="duplicateValues" dxfId="4954" priority="754"/>
  </conditionalFormatting>
  <conditionalFormatting sqref="AI13">
    <cfRule type="duplicateValues" dxfId="4953" priority="752" stopIfTrue="1"/>
    <cfRule type="duplicateValues" dxfId="4952" priority="753"/>
  </conditionalFormatting>
  <conditionalFormatting sqref="AI13">
    <cfRule type="duplicateValues" dxfId="4951" priority="751"/>
  </conditionalFormatting>
  <conditionalFormatting sqref="AI13">
    <cfRule type="duplicateValues" dxfId="4950" priority="749" stopIfTrue="1"/>
    <cfRule type="duplicateValues" dxfId="4949" priority="750"/>
  </conditionalFormatting>
  <conditionalFormatting sqref="AI13">
    <cfRule type="duplicateValues" dxfId="4948" priority="748"/>
  </conditionalFormatting>
  <conditionalFormatting sqref="AI13">
    <cfRule type="duplicateValues" dxfId="4947" priority="746" stopIfTrue="1"/>
    <cfRule type="duplicateValues" dxfId="4946" priority="747"/>
  </conditionalFormatting>
  <conditionalFormatting sqref="AI13">
    <cfRule type="duplicateValues" dxfId="4945" priority="745"/>
  </conditionalFormatting>
  <conditionalFormatting sqref="AI13">
    <cfRule type="duplicateValues" dxfId="4944" priority="743" stopIfTrue="1"/>
    <cfRule type="duplicateValues" dxfId="4943" priority="744"/>
  </conditionalFormatting>
  <conditionalFormatting sqref="AI13">
    <cfRule type="duplicateValues" dxfId="4942" priority="742"/>
  </conditionalFormatting>
  <conditionalFormatting sqref="AI13">
    <cfRule type="duplicateValues" dxfId="4941" priority="740" stopIfTrue="1"/>
    <cfRule type="duplicateValues" dxfId="4940" priority="741"/>
  </conditionalFormatting>
  <conditionalFormatting sqref="AI13">
    <cfRule type="duplicateValues" dxfId="4939" priority="739"/>
  </conditionalFormatting>
  <conditionalFormatting sqref="AI13">
    <cfRule type="duplicateValues" dxfId="4938" priority="737" stopIfTrue="1"/>
    <cfRule type="duplicateValues" dxfId="4937" priority="738"/>
  </conditionalFormatting>
  <conditionalFormatting sqref="AI13">
    <cfRule type="duplicateValues" dxfId="4936" priority="736"/>
  </conditionalFormatting>
  <conditionalFormatting sqref="AH29:AH30">
    <cfRule type="duplicateValues" dxfId="4935" priority="735"/>
  </conditionalFormatting>
  <conditionalFormatting sqref="AH29:AH30">
    <cfRule type="duplicateValues" dxfId="4934" priority="734"/>
  </conditionalFormatting>
  <conditionalFormatting sqref="AH29:AH30">
    <cfRule type="duplicateValues" dxfId="4933" priority="733"/>
  </conditionalFormatting>
  <conditionalFormatting sqref="AH29:AH30">
    <cfRule type="duplicateValues" dxfId="4932" priority="732"/>
  </conditionalFormatting>
  <conditionalFormatting sqref="AH29:AH30">
    <cfRule type="duplicateValues" dxfId="4931" priority="731"/>
  </conditionalFormatting>
  <conditionalFormatting sqref="AH29:AH30">
    <cfRule type="duplicateValues" dxfId="4930" priority="730"/>
  </conditionalFormatting>
  <conditionalFormatting sqref="AH29:AH30">
    <cfRule type="duplicateValues" dxfId="4929" priority="729"/>
  </conditionalFormatting>
  <conditionalFormatting sqref="AH29:AH30">
    <cfRule type="duplicateValues" dxfId="4928" priority="728"/>
  </conditionalFormatting>
  <conditionalFormatting sqref="AH29:AH30">
    <cfRule type="duplicateValues" dxfId="4927" priority="727"/>
  </conditionalFormatting>
  <conditionalFormatting sqref="AI29:AI30">
    <cfRule type="duplicateValues" dxfId="4926" priority="726"/>
  </conditionalFormatting>
  <conditionalFormatting sqref="AI29:AI30">
    <cfRule type="duplicateValues" dxfId="4925" priority="725"/>
  </conditionalFormatting>
  <conditionalFormatting sqref="AI29:AI30">
    <cfRule type="duplicateValues" dxfId="4924" priority="724"/>
  </conditionalFormatting>
  <conditionalFormatting sqref="AI29:AI30">
    <cfRule type="duplicateValues" dxfId="4923" priority="723"/>
  </conditionalFormatting>
  <conditionalFormatting sqref="AH12">
    <cfRule type="duplicateValues" dxfId="4922" priority="595"/>
  </conditionalFormatting>
  <conditionalFormatting sqref="AH12">
    <cfRule type="duplicateValues" dxfId="4921" priority="594"/>
  </conditionalFormatting>
  <conditionalFormatting sqref="AH12">
    <cfRule type="duplicateValues" dxfId="4920" priority="593"/>
  </conditionalFormatting>
  <conditionalFormatting sqref="AH12">
    <cfRule type="duplicateValues" dxfId="4919" priority="592"/>
  </conditionalFormatting>
  <conditionalFormatting sqref="AH12">
    <cfRule type="duplicateValues" dxfId="4918" priority="591"/>
  </conditionalFormatting>
  <conditionalFormatting sqref="AH12">
    <cfRule type="duplicateValues" dxfId="4917" priority="590"/>
  </conditionalFormatting>
  <conditionalFormatting sqref="AH12">
    <cfRule type="duplicateValues" dxfId="4916" priority="589"/>
  </conditionalFormatting>
  <conditionalFormatting sqref="AH19">
    <cfRule type="duplicateValues" dxfId="4915" priority="588"/>
  </conditionalFormatting>
  <conditionalFormatting sqref="AH19">
    <cfRule type="duplicateValues" dxfId="4914" priority="587"/>
  </conditionalFormatting>
  <conditionalFormatting sqref="AH19">
    <cfRule type="duplicateValues" dxfId="4913" priority="586"/>
  </conditionalFormatting>
  <conditionalFormatting sqref="AH19">
    <cfRule type="duplicateValues" dxfId="4912" priority="585"/>
  </conditionalFormatting>
  <conditionalFormatting sqref="AH19">
    <cfRule type="duplicateValues" dxfId="4911" priority="584"/>
  </conditionalFormatting>
  <conditionalFormatting sqref="AH19">
    <cfRule type="duplicateValues" dxfId="4910" priority="583"/>
  </conditionalFormatting>
  <conditionalFormatting sqref="AH19">
    <cfRule type="duplicateValues" dxfId="4909" priority="582"/>
  </conditionalFormatting>
  <conditionalFormatting sqref="AH19">
    <cfRule type="duplicateValues" dxfId="4908" priority="581"/>
  </conditionalFormatting>
  <conditionalFormatting sqref="AH19">
    <cfRule type="duplicateValues" dxfId="4907" priority="580"/>
  </conditionalFormatting>
  <conditionalFormatting sqref="AH19">
    <cfRule type="duplicateValues" dxfId="4906" priority="579"/>
  </conditionalFormatting>
  <conditionalFormatting sqref="AH19">
    <cfRule type="duplicateValues" dxfId="4905" priority="578"/>
  </conditionalFormatting>
  <conditionalFormatting sqref="AH19">
    <cfRule type="duplicateValues" dxfId="4904" priority="577"/>
  </conditionalFormatting>
  <conditionalFormatting sqref="AH19">
    <cfRule type="duplicateValues" dxfId="4903" priority="576"/>
  </conditionalFormatting>
  <conditionalFormatting sqref="AH19">
    <cfRule type="duplicateValues" dxfId="4902" priority="575"/>
  </conditionalFormatting>
  <conditionalFormatting sqref="AH19">
    <cfRule type="duplicateValues" dxfId="4901" priority="574"/>
  </conditionalFormatting>
  <conditionalFormatting sqref="AH19">
    <cfRule type="duplicateValues" dxfId="4900" priority="573"/>
  </conditionalFormatting>
  <conditionalFormatting sqref="AH19">
    <cfRule type="duplicateValues" dxfId="4899" priority="572"/>
  </conditionalFormatting>
  <conditionalFormatting sqref="AH19">
    <cfRule type="duplicateValues" dxfId="4898" priority="571"/>
  </conditionalFormatting>
  <conditionalFormatting sqref="AH19">
    <cfRule type="duplicateValues" dxfId="4897" priority="570"/>
  </conditionalFormatting>
  <conditionalFormatting sqref="AH19">
    <cfRule type="duplicateValues" dxfId="4896" priority="569"/>
  </conditionalFormatting>
  <conditionalFormatting sqref="AH19">
    <cfRule type="duplicateValues" dxfId="4895" priority="568"/>
  </conditionalFormatting>
  <conditionalFormatting sqref="AH19">
    <cfRule type="duplicateValues" dxfId="4894" priority="567"/>
  </conditionalFormatting>
  <conditionalFormatting sqref="AH19">
    <cfRule type="duplicateValues" dxfId="4893" priority="566"/>
  </conditionalFormatting>
  <conditionalFormatting sqref="AH19">
    <cfRule type="duplicateValues" dxfId="4892" priority="565"/>
  </conditionalFormatting>
  <conditionalFormatting sqref="AH19">
    <cfRule type="duplicateValues" dxfId="4891" priority="564"/>
  </conditionalFormatting>
  <conditionalFormatting sqref="AH19">
    <cfRule type="duplicateValues" dxfId="4890" priority="563"/>
  </conditionalFormatting>
  <conditionalFormatting sqref="AH19">
    <cfRule type="duplicateValues" dxfId="4889" priority="562"/>
  </conditionalFormatting>
  <conditionalFormatting sqref="AH19">
    <cfRule type="duplicateValues" dxfId="4888" priority="561"/>
  </conditionalFormatting>
  <conditionalFormatting sqref="AH19">
    <cfRule type="duplicateValues" dxfId="4887" priority="560"/>
  </conditionalFormatting>
  <conditionalFormatting sqref="AH19">
    <cfRule type="duplicateValues" dxfId="4886" priority="559"/>
  </conditionalFormatting>
  <conditionalFormatting sqref="AH19">
    <cfRule type="duplicateValues" dxfId="4885" priority="558"/>
  </conditionalFormatting>
  <conditionalFormatting sqref="AH19">
    <cfRule type="duplicateValues" dxfId="4884" priority="557"/>
  </conditionalFormatting>
  <conditionalFormatting sqref="AI19">
    <cfRule type="duplicateValues" dxfId="4883" priority="556"/>
  </conditionalFormatting>
  <conditionalFormatting sqref="AI19">
    <cfRule type="duplicateValues" dxfId="4882" priority="555"/>
  </conditionalFormatting>
  <conditionalFormatting sqref="AI19">
    <cfRule type="duplicateValues" dxfId="4881" priority="553" stopIfTrue="1"/>
    <cfRule type="duplicateValues" dxfId="4880" priority="554"/>
  </conditionalFormatting>
  <conditionalFormatting sqref="AI19">
    <cfRule type="duplicateValues" dxfId="4879" priority="551" stopIfTrue="1"/>
    <cfRule type="duplicateValues" dxfId="4878" priority="552"/>
  </conditionalFormatting>
  <conditionalFormatting sqref="AI19">
    <cfRule type="duplicateValues" dxfId="4877" priority="550"/>
  </conditionalFormatting>
  <conditionalFormatting sqref="AI19">
    <cfRule type="duplicateValues" dxfId="4876" priority="549"/>
  </conditionalFormatting>
  <conditionalFormatting sqref="AI19">
    <cfRule type="duplicateValues" dxfId="4875" priority="547" stopIfTrue="1"/>
    <cfRule type="duplicateValues" dxfId="4874" priority="548"/>
  </conditionalFormatting>
  <conditionalFormatting sqref="AI19">
    <cfRule type="duplicateValues" dxfId="4873" priority="546"/>
  </conditionalFormatting>
  <conditionalFormatting sqref="AI19">
    <cfRule type="duplicateValues" dxfId="4872" priority="545"/>
  </conditionalFormatting>
  <conditionalFormatting sqref="AI19">
    <cfRule type="duplicateValues" dxfId="4871" priority="544"/>
  </conditionalFormatting>
  <conditionalFormatting sqref="AI19">
    <cfRule type="duplicateValues" dxfId="4870" priority="543"/>
  </conditionalFormatting>
  <conditionalFormatting sqref="AI19">
    <cfRule type="duplicateValues" dxfId="4869" priority="542"/>
  </conditionalFormatting>
  <conditionalFormatting sqref="AI19">
    <cfRule type="duplicateValues" dxfId="4868" priority="540" stopIfTrue="1"/>
    <cfRule type="duplicateValues" dxfId="4867" priority="541"/>
  </conditionalFormatting>
  <conditionalFormatting sqref="AI19">
    <cfRule type="duplicateValues" dxfId="4866" priority="539"/>
  </conditionalFormatting>
  <conditionalFormatting sqref="AI19">
    <cfRule type="duplicateValues" dxfId="4865" priority="537" stopIfTrue="1"/>
    <cfRule type="duplicateValues" dxfId="4864" priority="538"/>
  </conditionalFormatting>
  <conditionalFormatting sqref="AI19">
    <cfRule type="duplicateValues" dxfId="4863" priority="536"/>
  </conditionalFormatting>
  <conditionalFormatting sqref="AI19">
    <cfRule type="duplicateValues" dxfId="4862" priority="534" stopIfTrue="1"/>
    <cfRule type="duplicateValues" dxfId="4861" priority="535"/>
  </conditionalFormatting>
  <conditionalFormatting sqref="AI19">
    <cfRule type="duplicateValues" dxfId="4860" priority="533"/>
  </conditionalFormatting>
  <conditionalFormatting sqref="AI24:AI25">
    <cfRule type="duplicateValues" dxfId="4859" priority="532"/>
  </conditionalFormatting>
  <conditionalFormatting sqref="AI21">
    <cfRule type="duplicateValues" dxfId="4858" priority="531"/>
  </conditionalFormatting>
  <conditionalFormatting sqref="AH39">
    <cfRule type="duplicateValues" dxfId="4857" priority="530"/>
  </conditionalFormatting>
  <conditionalFormatting sqref="AH39">
    <cfRule type="duplicateValues" dxfId="4856" priority="529"/>
  </conditionalFormatting>
  <conditionalFormatting sqref="AH39">
    <cfRule type="duplicateValues" dxfId="4855" priority="528"/>
  </conditionalFormatting>
  <conditionalFormatting sqref="AH39">
    <cfRule type="duplicateValues" dxfId="4854" priority="527"/>
  </conditionalFormatting>
  <conditionalFormatting sqref="AH39">
    <cfRule type="duplicateValues" dxfId="4853" priority="526"/>
  </conditionalFormatting>
  <conditionalFormatting sqref="AH39">
    <cfRule type="duplicateValues" dxfId="4852" priority="525"/>
  </conditionalFormatting>
  <conditionalFormatting sqref="AH39">
    <cfRule type="duplicateValues" dxfId="4851" priority="524"/>
  </conditionalFormatting>
  <conditionalFormatting sqref="AH39">
    <cfRule type="duplicateValues" dxfId="4850" priority="523"/>
  </conditionalFormatting>
  <conditionalFormatting sqref="AH39">
    <cfRule type="duplicateValues" dxfId="4849" priority="522"/>
  </conditionalFormatting>
  <conditionalFormatting sqref="AH39">
    <cfRule type="duplicateValues" dxfId="4848" priority="521"/>
  </conditionalFormatting>
  <conditionalFormatting sqref="AH39">
    <cfRule type="duplicateValues" dxfId="4847" priority="520"/>
  </conditionalFormatting>
  <conditionalFormatting sqref="AH39">
    <cfRule type="duplicateValues" dxfId="4846" priority="519"/>
  </conditionalFormatting>
  <conditionalFormatting sqref="AI30:AI31">
    <cfRule type="duplicateValues" dxfId="4845" priority="518"/>
  </conditionalFormatting>
  <conditionalFormatting sqref="AI30:AI31">
    <cfRule type="duplicateValues" dxfId="4844" priority="517"/>
  </conditionalFormatting>
  <conditionalFormatting sqref="AI30:AI31">
    <cfRule type="duplicateValues" dxfId="4843" priority="515" stopIfTrue="1"/>
    <cfRule type="duplicateValues" dxfId="4842" priority="516"/>
  </conditionalFormatting>
  <conditionalFormatting sqref="AH18">
    <cfRule type="duplicateValues" dxfId="4841" priority="514"/>
  </conditionalFormatting>
  <conditionalFormatting sqref="AH18">
    <cfRule type="duplicateValues" dxfId="4840" priority="513"/>
  </conditionalFormatting>
  <conditionalFormatting sqref="AH18">
    <cfRule type="duplicateValues" dxfId="4839" priority="512"/>
  </conditionalFormatting>
  <conditionalFormatting sqref="AH18">
    <cfRule type="duplicateValues" dxfId="4838" priority="511"/>
  </conditionalFormatting>
  <conditionalFormatting sqref="AH9">
    <cfRule type="duplicateValues" dxfId="4837" priority="510"/>
  </conditionalFormatting>
  <conditionalFormatting sqref="AH9">
    <cfRule type="duplicateValues" dxfId="4836" priority="509"/>
  </conditionalFormatting>
  <conditionalFormatting sqref="AH9">
    <cfRule type="duplicateValues" dxfId="4835" priority="508"/>
  </conditionalFormatting>
  <conditionalFormatting sqref="AH9">
    <cfRule type="duplicateValues" dxfId="4834" priority="507"/>
  </conditionalFormatting>
  <conditionalFormatting sqref="AH9">
    <cfRule type="duplicateValues" dxfId="4833" priority="506"/>
  </conditionalFormatting>
  <conditionalFormatting sqref="AH9">
    <cfRule type="duplicateValues" dxfId="4832" priority="505"/>
  </conditionalFormatting>
  <conditionalFormatting sqref="AH9">
    <cfRule type="duplicateValues" dxfId="4831" priority="504"/>
  </conditionalFormatting>
  <conditionalFormatting sqref="AH9">
    <cfRule type="duplicateValues" dxfId="4830" priority="503"/>
  </conditionalFormatting>
  <conditionalFormatting sqref="AH9">
    <cfRule type="duplicateValues" dxfId="4829" priority="502"/>
  </conditionalFormatting>
  <conditionalFormatting sqref="AH9">
    <cfRule type="duplicateValues" dxfId="4828" priority="501"/>
  </conditionalFormatting>
  <conditionalFormatting sqref="AH9">
    <cfRule type="duplicateValues" dxfId="4827" priority="500"/>
  </conditionalFormatting>
  <conditionalFormatting sqref="AH9">
    <cfRule type="duplicateValues" dxfId="4826" priority="499"/>
  </conditionalFormatting>
  <conditionalFormatting sqref="AH9">
    <cfRule type="duplicateValues" dxfId="4825" priority="498"/>
  </conditionalFormatting>
  <conditionalFormatting sqref="AH9">
    <cfRule type="duplicateValues" dxfId="4824" priority="497"/>
  </conditionalFormatting>
  <conditionalFormatting sqref="AH9">
    <cfRule type="duplicateValues" dxfId="4823" priority="496"/>
  </conditionalFormatting>
  <conditionalFormatting sqref="AH9">
    <cfRule type="duplicateValues" dxfId="4822" priority="495"/>
  </conditionalFormatting>
  <conditionalFormatting sqref="AH9">
    <cfRule type="duplicateValues" dxfId="4821" priority="494"/>
  </conditionalFormatting>
  <conditionalFormatting sqref="AH9">
    <cfRule type="duplicateValues" dxfId="4820" priority="493"/>
  </conditionalFormatting>
  <conditionalFormatting sqref="AH9">
    <cfRule type="duplicateValues" dxfId="4819" priority="492"/>
  </conditionalFormatting>
  <conditionalFormatting sqref="AH9">
    <cfRule type="duplicateValues" dxfId="4818" priority="491"/>
  </conditionalFormatting>
  <conditionalFormatting sqref="AH9">
    <cfRule type="duplicateValues" dxfId="4817" priority="490"/>
  </conditionalFormatting>
  <conditionalFormatting sqref="AH9">
    <cfRule type="duplicateValues" dxfId="4816" priority="489"/>
  </conditionalFormatting>
  <conditionalFormatting sqref="AH9">
    <cfRule type="duplicateValues" dxfId="4815" priority="488"/>
  </conditionalFormatting>
  <conditionalFormatting sqref="AH9">
    <cfRule type="duplicateValues" dxfId="4814" priority="487"/>
  </conditionalFormatting>
  <conditionalFormatting sqref="AH9">
    <cfRule type="duplicateValues" dxfId="4813" priority="486"/>
  </conditionalFormatting>
  <conditionalFormatting sqref="AH9">
    <cfRule type="duplicateValues" dxfId="4812" priority="485"/>
  </conditionalFormatting>
  <conditionalFormatting sqref="AH9">
    <cfRule type="duplicateValues" dxfId="4811" priority="484"/>
  </conditionalFormatting>
  <conditionalFormatting sqref="AH9">
    <cfRule type="duplicateValues" dxfId="4810" priority="483"/>
  </conditionalFormatting>
  <conditionalFormatting sqref="AH9">
    <cfRule type="duplicateValues" dxfId="4809" priority="482"/>
  </conditionalFormatting>
  <conditionalFormatting sqref="AH9">
    <cfRule type="duplicateValues" dxfId="4808" priority="481"/>
  </conditionalFormatting>
  <conditionalFormatting sqref="AH9">
    <cfRule type="duplicateValues" dxfId="4807" priority="480"/>
  </conditionalFormatting>
  <conditionalFormatting sqref="AH9">
    <cfRule type="duplicateValues" dxfId="4806" priority="479"/>
  </conditionalFormatting>
  <conditionalFormatting sqref="AH9">
    <cfRule type="duplicateValues" dxfId="4805" priority="478"/>
  </conditionalFormatting>
  <conditionalFormatting sqref="AH9">
    <cfRule type="duplicateValues" dxfId="4804" priority="477"/>
  </conditionalFormatting>
  <conditionalFormatting sqref="AH9">
    <cfRule type="duplicateValues" dxfId="4803" priority="476"/>
  </conditionalFormatting>
  <conditionalFormatting sqref="AH9">
    <cfRule type="duplicateValues" dxfId="4802" priority="475"/>
  </conditionalFormatting>
  <conditionalFormatting sqref="AH9">
    <cfRule type="duplicateValues" dxfId="4801" priority="474"/>
  </conditionalFormatting>
  <conditionalFormatting sqref="AH9">
    <cfRule type="duplicateValues" dxfId="4800" priority="473"/>
  </conditionalFormatting>
  <conditionalFormatting sqref="AH9">
    <cfRule type="duplicateValues" dxfId="4799" priority="472"/>
  </conditionalFormatting>
  <conditionalFormatting sqref="AH9">
    <cfRule type="duplicateValues" dxfId="4798" priority="471"/>
  </conditionalFormatting>
  <conditionalFormatting sqref="AH10">
    <cfRule type="duplicateValues" dxfId="4797" priority="470"/>
  </conditionalFormatting>
  <conditionalFormatting sqref="AH10">
    <cfRule type="duplicateValues" dxfId="4796" priority="469"/>
  </conditionalFormatting>
  <conditionalFormatting sqref="AH10">
    <cfRule type="duplicateValues" dxfId="4795" priority="468"/>
  </conditionalFormatting>
  <conditionalFormatting sqref="AH10">
    <cfRule type="duplicateValues" dxfId="4794" priority="467"/>
  </conditionalFormatting>
  <conditionalFormatting sqref="AH10">
    <cfRule type="duplicateValues" dxfId="4793" priority="466"/>
  </conditionalFormatting>
  <conditionalFormatting sqref="AH10">
    <cfRule type="duplicateValues" dxfId="4792" priority="465"/>
  </conditionalFormatting>
  <conditionalFormatting sqref="AH10">
    <cfRule type="duplicateValues" dxfId="4791" priority="464"/>
  </conditionalFormatting>
  <conditionalFormatting sqref="AH10">
    <cfRule type="duplicateValues" dxfId="4790" priority="463"/>
  </conditionalFormatting>
  <conditionalFormatting sqref="AH10">
    <cfRule type="duplicateValues" dxfId="4789" priority="462"/>
  </conditionalFormatting>
  <conditionalFormatting sqref="AH10">
    <cfRule type="duplicateValues" dxfId="4788" priority="461"/>
  </conditionalFormatting>
  <conditionalFormatting sqref="AH10">
    <cfRule type="duplicateValues" dxfId="4787" priority="460"/>
  </conditionalFormatting>
  <conditionalFormatting sqref="AH10">
    <cfRule type="duplicateValues" dxfId="4786" priority="459"/>
  </conditionalFormatting>
  <conditionalFormatting sqref="AH10">
    <cfRule type="duplicateValues" dxfId="4785" priority="458"/>
  </conditionalFormatting>
  <conditionalFormatting sqref="AH10">
    <cfRule type="duplicateValues" dxfId="4784" priority="457"/>
  </conditionalFormatting>
  <conditionalFormatting sqref="AH10">
    <cfRule type="duplicateValues" dxfId="4783" priority="456"/>
  </conditionalFormatting>
  <conditionalFormatting sqref="AH10">
    <cfRule type="duplicateValues" dxfId="4782" priority="455"/>
  </conditionalFormatting>
  <conditionalFormatting sqref="AH10">
    <cfRule type="duplicateValues" dxfId="4781" priority="454"/>
  </conditionalFormatting>
  <conditionalFormatting sqref="AH10">
    <cfRule type="duplicateValues" dxfId="4780" priority="453"/>
  </conditionalFormatting>
  <conditionalFormatting sqref="AH10">
    <cfRule type="duplicateValues" dxfId="4779" priority="452"/>
  </conditionalFormatting>
  <conditionalFormatting sqref="AH10">
    <cfRule type="duplicateValues" dxfId="4778" priority="451"/>
  </conditionalFormatting>
  <conditionalFormatting sqref="AH10">
    <cfRule type="duplicateValues" dxfId="4777" priority="450"/>
  </conditionalFormatting>
  <conditionalFormatting sqref="AH10">
    <cfRule type="duplicateValues" dxfId="4776" priority="449"/>
  </conditionalFormatting>
  <conditionalFormatting sqref="AH10">
    <cfRule type="duplicateValues" dxfId="4775" priority="448"/>
  </conditionalFormatting>
  <conditionalFormatting sqref="AH10">
    <cfRule type="duplicateValues" dxfId="4774" priority="447"/>
  </conditionalFormatting>
  <conditionalFormatting sqref="AI10">
    <cfRule type="duplicateValues" dxfId="4773" priority="446"/>
  </conditionalFormatting>
  <conditionalFormatting sqref="AI10">
    <cfRule type="duplicateValues" dxfId="4772" priority="444" stopIfTrue="1"/>
    <cfRule type="duplicateValues" dxfId="4771" priority="445"/>
  </conditionalFormatting>
  <conditionalFormatting sqref="AI10">
    <cfRule type="duplicateValues" dxfId="4770" priority="443"/>
  </conditionalFormatting>
  <conditionalFormatting sqref="AI10">
    <cfRule type="duplicateValues" dxfId="4769" priority="441" stopIfTrue="1"/>
    <cfRule type="duplicateValues" dxfId="4768" priority="442"/>
  </conditionalFormatting>
  <conditionalFormatting sqref="AI10">
    <cfRule type="duplicateValues" dxfId="4767" priority="440"/>
  </conditionalFormatting>
  <conditionalFormatting sqref="AI10">
    <cfRule type="duplicateValues" dxfId="4766" priority="439"/>
  </conditionalFormatting>
  <conditionalFormatting sqref="AI10">
    <cfRule type="duplicateValues" dxfId="4765" priority="438"/>
  </conditionalFormatting>
  <conditionalFormatting sqref="AI10">
    <cfRule type="duplicateValues" dxfId="4764" priority="437"/>
  </conditionalFormatting>
  <conditionalFormatting sqref="AI10">
    <cfRule type="duplicateValues" dxfId="4763" priority="435" stopIfTrue="1"/>
    <cfRule type="duplicateValues" dxfId="4762" priority="436"/>
  </conditionalFormatting>
  <conditionalFormatting sqref="AI10">
    <cfRule type="duplicateValues" dxfId="4761" priority="434"/>
  </conditionalFormatting>
  <conditionalFormatting sqref="AI10">
    <cfRule type="duplicateValues" dxfId="4760" priority="433"/>
  </conditionalFormatting>
  <conditionalFormatting sqref="AG9:AG32">
    <cfRule type="duplicateValues" dxfId="4759" priority="4654"/>
  </conditionalFormatting>
  <conditionalFormatting sqref="AG8:AG32">
    <cfRule type="duplicateValues" dxfId="4758" priority="4655"/>
  </conditionalFormatting>
  <conditionalFormatting sqref="K7:K34 K39:K105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">
    <cfRule type="cellIs" dxfId="4757" priority="386" operator="equal">
      <formula>"GRM4E34"</formula>
    </cfRule>
  </conditionalFormatting>
  <conditionalFormatting sqref="K7:K34 K39:K10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4 K39:K1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34 K39:K10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5:G46">
    <cfRule type="duplicateValues" dxfId="4756" priority="359"/>
  </conditionalFormatting>
  <conditionalFormatting sqref="E45:G46">
    <cfRule type="duplicateValues" dxfId="4755" priority="358"/>
  </conditionalFormatting>
  <conditionalFormatting sqref="F43">
    <cfRule type="duplicateValues" dxfId="4754" priority="316"/>
  </conditionalFormatting>
  <conditionalFormatting sqref="F43">
    <cfRule type="duplicateValues" dxfId="4753" priority="315"/>
  </conditionalFormatting>
  <conditionalFormatting sqref="G23">
    <cfRule type="duplicateValues" dxfId="4752" priority="298"/>
  </conditionalFormatting>
  <conditionalFormatting sqref="K7:K34 K39:K10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5:N38">
    <cfRule type="cellIs" dxfId="4751" priority="295" operator="equal">
      <formula>"VUC"</formula>
    </cfRule>
  </conditionalFormatting>
  <conditionalFormatting sqref="K35:K3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6:G38">
    <cfRule type="duplicateValues" dxfId="4750" priority="288"/>
  </conditionalFormatting>
  <conditionalFormatting sqref="K35:K3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6:G38">
    <cfRule type="duplicateValues" dxfId="4749" priority="286"/>
  </conditionalFormatting>
  <conditionalFormatting sqref="K35:K3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5:AI38">
    <cfRule type="duplicateValues" dxfId="4748" priority="276"/>
  </conditionalFormatting>
  <conditionalFormatting sqref="AI35:AI38">
    <cfRule type="duplicateValues" dxfId="4747" priority="275"/>
  </conditionalFormatting>
  <conditionalFormatting sqref="AI35:AI38">
    <cfRule type="duplicateValues" dxfId="4746" priority="273" stopIfTrue="1"/>
    <cfRule type="duplicateValues" dxfId="4745" priority="274"/>
  </conditionalFormatting>
  <conditionalFormatting sqref="AI35:AI38">
    <cfRule type="duplicateValues" dxfId="4744" priority="272"/>
  </conditionalFormatting>
  <conditionalFormatting sqref="AH35:AJ38">
    <cfRule type="duplicateValues" dxfId="4743" priority="271"/>
  </conditionalFormatting>
  <conditionalFormatting sqref="AH35:AJ38">
    <cfRule type="duplicateValues" dxfId="4742" priority="270"/>
  </conditionalFormatting>
  <conditionalFormatting sqref="AH35:AJ38">
    <cfRule type="duplicateValues" dxfId="4741" priority="269"/>
  </conditionalFormatting>
  <conditionalFormatting sqref="AH35:AJ38">
    <cfRule type="duplicateValues" dxfId="4740" priority="268"/>
  </conditionalFormatting>
  <conditionalFormatting sqref="AH35:AJ38">
    <cfRule type="duplicateValues" dxfId="4739" priority="267"/>
  </conditionalFormatting>
  <conditionalFormatting sqref="AH35:AJ38">
    <cfRule type="duplicateValues" dxfId="4738" priority="266"/>
  </conditionalFormatting>
  <conditionalFormatting sqref="AH35:AJ38">
    <cfRule type="duplicateValues" dxfId="4737" priority="265"/>
  </conditionalFormatting>
  <conditionalFormatting sqref="AH35:AJ38">
    <cfRule type="duplicateValues" dxfId="4736" priority="264"/>
  </conditionalFormatting>
  <conditionalFormatting sqref="AH35:AJ38">
    <cfRule type="duplicateValues" dxfId="4735" priority="263"/>
  </conditionalFormatting>
  <conditionalFormatting sqref="AH35:AJ38">
    <cfRule type="duplicateValues" dxfId="4734" priority="262"/>
  </conditionalFormatting>
  <conditionalFormatting sqref="AH35:AJ38">
    <cfRule type="duplicateValues" dxfId="4733" priority="261"/>
  </conditionalFormatting>
  <conditionalFormatting sqref="AH35:AJ38">
    <cfRule type="duplicateValues" dxfId="4732" priority="260"/>
  </conditionalFormatting>
  <conditionalFormatting sqref="AH35:AJ38">
    <cfRule type="duplicateValues" dxfId="4731" priority="259"/>
  </conditionalFormatting>
  <conditionalFormatting sqref="K35:K3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3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05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05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4">
    <cfRule type="duplicateValues" dxfId="4730" priority="222"/>
  </conditionalFormatting>
  <conditionalFormatting sqref="G35">
    <cfRule type="duplicateValues" dxfId="4729" priority="171"/>
  </conditionalFormatting>
  <conditionalFormatting sqref="G35">
    <cfRule type="duplicateValues" dxfId="4728" priority="170"/>
  </conditionalFormatting>
  <conditionalFormatting sqref="G35">
    <cfRule type="duplicateValues" dxfId="4727" priority="168" stopIfTrue="1"/>
    <cfRule type="duplicateValues" dxfId="4726" priority="169"/>
  </conditionalFormatting>
  <conditionalFormatting sqref="G34">
    <cfRule type="duplicateValues" dxfId="4725" priority="160"/>
  </conditionalFormatting>
  <conditionalFormatting sqref="G29">
    <cfRule type="duplicateValues" dxfId="4724" priority="159"/>
  </conditionalFormatting>
  <conditionalFormatting sqref="G29">
    <cfRule type="duplicateValues" dxfId="4723" priority="158"/>
  </conditionalFormatting>
  <conditionalFormatting sqref="G29">
    <cfRule type="duplicateValues" dxfId="4722" priority="157"/>
  </conditionalFormatting>
  <conditionalFormatting sqref="G29">
    <cfRule type="duplicateValues" dxfId="4721" priority="156"/>
  </conditionalFormatting>
  <conditionalFormatting sqref="G29">
    <cfRule type="duplicateValues" dxfId="4720" priority="155"/>
  </conditionalFormatting>
  <conditionalFormatting sqref="G29">
    <cfRule type="duplicateValues" dxfId="4719" priority="154"/>
  </conditionalFormatting>
  <conditionalFormatting sqref="G29">
    <cfRule type="duplicateValues" dxfId="4718" priority="153"/>
  </conditionalFormatting>
  <conditionalFormatting sqref="G29">
    <cfRule type="duplicateValues" dxfId="4717" priority="152"/>
  </conditionalFormatting>
  <conditionalFormatting sqref="G29">
    <cfRule type="duplicateValues" dxfId="4716" priority="151"/>
  </conditionalFormatting>
  <conditionalFormatting sqref="G29">
    <cfRule type="duplicateValues" dxfId="4715" priority="150"/>
  </conditionalFormatting>
  <conditionalFormatting sqref="G29">
    <cfRule type="duplicateValues" dxfId="4714" priority="149"/>
  </conditionalFormatting>
  <conditionalFormatting sqref="G29">
    <cfRule type="duplicateValues" dxfId="4713" priority="148"/>
  </conditionalFormatting>
  <conditionalFormatting sqref="G29">
    <cfRule type="duplicateValues" dxfId="4712" priority="147"/>
  </conditionalFormatting>
  <conditionalFormatting sqref="G29">
    <cfRule type="duplicateValues" dxfId="4711" priority="146"/>
  </conditionalFormatting>
  <conditionalFormatting sqref="G29">
    <cfRule type="duplicateValues" dxfId="4710" priority="145"/>
  </conditionalFormatting>
  <conditionalFormatting sqref="G29">
    <cfRule type="duplicateValues" dxfId="4709" priority="144"/>
  </conditionalFormatting>
  <conditionalFormatting sqref="G29">
    <cfRule type="duplicateValues" dxfId="4708" priority="143"/>
  </conditionalFormatting>
  <conditionalFormatting sqref="G29">
    <cfRule type="duplicateValues" dxfId="4707" priority="142"/>
  </conditionalFormatting>
  <conditionalFormatting sqref="G29">
    <cfRule type="duplicateValues" dxfId="4706" priority="141"/>
  </conditionalFormatting>
  <conditionalFormatting sqref="G29">
    <cfRule type="duplicateValues" dxfId="4705" priority="140"/>
  </conditionalFormatting>
  <conditionalFormatting sqref="G29">
    <cfRule type="duplicateValues" dxfId="4704" priority="139"/>
  </conditionalFormatting>
  <conditionalFormatting sqref="G29">
    <cfRule type="duplicateValues" dxfId="4703" priority="138"/>
  </conditionalFormatting>
  <conditionalFormatting sqref="G29">
    <cfRule type="duplicateValues" dxfId="4702" priority="137"/>
  </conditionalFormatting>
  <conditionalFormatting sqref="G29">
    <cfRule type="duplicateValues" dxfId="4701" priority="136"/>
  </conditionalFormatting>
  <conditionalFormatting sqref="K7:K10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">
    <cfRule type="cellIs" dxfId="4700" priority="119" operator="lessThan">
      <formula>79.9%</formula>
    </cfRule>
    <cfRule type="cellIs" dxfId="4699" priority="130" operator="greaterThan">
      <formula>0.8</formula>
    </cfRule>
  </conditionalFormatting>
  <conditionalFormatting sqref="AG37:AG41">
    <cfRule type="cellIs" dxfId="4698" priority="126" operator="equal">
      <formula>"EAY2C80"</formula>
    </cfRule>
    <cfRule type="cellIs" dxfId="4697" priority="127" operator="equal">
      <formula>"FBM6F39"</formula>
    </cfRule>
    <cfRule type="cellIs" dxfId="4696" priority="128" operator="equal">
      <formula>"CPI4F14"</formula>
    </cfRule>
  </conditionalFormatting>
  <conditionalFormatting sqref="AG37:AG41">
    <cfRule type="cellIs" dxfId="4695" priority="122" operator="equal">
      <formula>"FYU7950"</formula>
    </cfRule>
    <cfRule type="cellIs" dxfId="4694" priority="123" operator="equal">
      <formula>"REC0001"</formula>
    </cfRule>
    <cfRule type="cellIs" dxfId="4693" priority="124" operator="equal">
      <formula>"GRM4E34"</formula>
    </cfRule>
    <cfRule type="cellIs" dxfId="4692" priority="125" operator="equal">
      <formula>"GBR1H82"</formula>
    </cfRule>
  </conditionalFormatting>
  <conditionalFormatting sqref="K7:K105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0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0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">
    <cfRule type="duplicateValues" dxfId="4691" priority="117"/>
  </conditionalFormatting>
  <conditionalFormatting sqref="G28">
    <cfRule type="duplicateValues" dxfId="4690" priority="116"/>
  </conditionalFormatting>
  <conditionalFormatting sqref="G28">
    <cfRule type="duplicateValues" dxfId="4689" priority="115"/>
  </conditionalFormatting>
  <conditionalFormatting sqref="G28">
    <cfRule type="duplicateValues" dxfId="4688" priority="114"/>
  </conditionalFormatting>
  <conditionalFormatting sqref="G28">
    <cfRule type="duplicateValues" dxfId="4687" priority="113"/>
  </conditionalFormatting>
  <conditionalFormatting sqref="G28">
    <cfRule type="duplicateValues" dxfId="4686" priority="112"/>
  </conditionalFormatting>
  <conditionalFormatting sqref="G28">
    <cfRule type="duplicateValues" dxfId="4685" priority="111"/>
  </conditionalFormatting>
  <conditionalFormatting sqref="G28">
    <cfRule type="duplicateValues" dxfId="4684" priority="110"/>
  </conditionalFormatting>
  <conditionalFormatting sqref="G28">
    <cfRule type="duplicateValues" dxfId="4683" priority="109"/>
  </conditionalFormatting>
  <conditionalFormatting sqref="G28">
    <cfRule type="duplicateValues" dxfId="4682" priority="108"/>
  </conditionalFormatting>
  <conditionalFormatting sqref="G28">
    <cfRule type="duplicateValues" dxfId="4681" priority="107"/>
  </conditionalFormatting>
  <conditionalFormatting sqref="G28">
    <cfRule type="duplicateValues" dxfId="4680" priority="106"/>
  </conditionalFormatting>
  <conditionalFormatting sqref="G28">
    <cfRule type="duplicateValues" dxfId="4679" priority="105"/>
  </conditionalFormatting>
  <conditionalFormatting sqref="G28">
    <cfRule type="duplicateValues" dxfId="4678" priority="104"/>
  </conditionalFormatting>
  <conditionalFormatting sqref="G28">
    <cfRule type="duplicateValues" dxfId="4677" priority="103"/>
  </conditionalFormatting>
  <conditionalFormatting sqref="G28">
    <cfRule type="duplicateValues" dxfId="4676" priority="102"/>
  </conditionalFormatting>
  <conditionalFormatting sqref="G28">
    <cfRule type="duplicateValues" dxfId="4675" priority="101"/>
  </conditionalFormatting>
  <conditionalFormatting sqref="G28">
    <cfRule type="duplicateValues" dxfId="4674" priority="100"/>
  </conditionalFormatting>
  <conditionalFormatting sqref="G28">
    <cfRule type="duplicateValues" dxfId="4673" priority="99"/>
  </conditionalFormatting>
  <conditionalFormatting sqref="G28">
    <cfRule type="duplicateValues" dxfId="4672" priority="98"/>
  </conditionalFormatting>
  <conditionalFormatting sqref="G28">
    <cfRule type="duplicateValues" dxfId="4671" priority="97"/>
  </conditionalFormatting>
  <conditionalFormatting sqref="G28">
    <cfRule type="duplicateValues" dxfId="4670" priority="96"/>
  </conditionalFormatting>
  <conditionalFormatting sqref="G28">
    <cfRule type="duplicateValues" dxfId="4669" priority="95"/>
  </conditionalFormatting>
  <conditionalFormatting sqref="G28">
    <cfRule type="duplicateValues" dxfId="4668" priority="94"/>
  </conditionalFormatting>
  <conditionalFormatting sqref="K7:K10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0:E107 E40:G42 F39:G39 E10:G12 E14:G38 E13:F13">
    <cfRule type="duplicateValues" dxfId="4667" priority="91"/>
  </conditionalFormatting>
  <conditionalFormatting sqref="K7:K10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8:D31 D34:D107">
    <cfRule type="duplicateValues" dxfId="4666" priority="89"/>
  </conditionalFormatting>
  <conditionalFormatting sqref="K7:K10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:G7 G30:G31 G21:G22 G11 E40:G44 G39 E47:G106 G24:G26">
    <cfRule type="duplicateValues" dxfId="4665" priority="13418"/>
  </conditionalFormatting>
  <conditionalFormatting sqref="G39 E47:G106 E40:G44 G11 G21:G22 G18 G34 G24:G26 G30:G31">
    <cfRule type="duplicateValues" dxfId="4664" priority="13430"/>
  </conditionalFormatting>
  <conditionalFormatting sqref="K7:K10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0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5">
    <cfRule type="duplicateValues" dxfId="4663" priority="72"/>
  </conditionalFormatting>
  <conditionalFormatting sqref="E45">
    <cfRule type="duplicateValues" dxfId="4662" priority="73"/>
  </conditionalFormatting>
  <conditionalFormatting sqref="G34">
    <cfRule type="duplicateValues" dxfId="4661" priority="71"/>
  </conditionalFormatting>
  <conditionalFormatting sqref="G34">
    <cfRule type="duplicateValues" dxfId="4660" priority="70"/>
  </conditionalFormatting>
  <conditionalFormatting sqref="G34">
    <cfRule type="duplicateValues" dxfId="4659" priority="69"/>
  </conditionalFormatting>
  <conditionalFormatting sqref="G32">
    <cfRule type="duplicateValues" dxfId="4658" priority="68"/>
  </conditionalFormatting>
  <conditionalFormatting sqref="G32">
    <cfRule type="duplicateValues" dxfId="4657" priority="67"/>
  </conditionalFormatting>
  <conditionalFormatting sqref="G33">
    <cfRule type="duplicateValues" dxfId="4656" priority="66"/>
  </conditionalFormatting>
  <conditionalFormatting sqref="G33">
    <cfRule type="duplicateValues" dxfId="4655" priority="65"/>
  </conditionalFormatting>
  <conditionalFormatting sqref="K7:K10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0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7">
    <cfRule type="duplicateValues" dxfId="4654" priority="60"/>
  </conditionalFormatting>
  <conditionalFormatting sqref="G27">
    <cfRule type="duplicateValues" dxfId="4653" priority="59"/>
  </conditionalFormatting>
  <conditionalFormatting sqref="G27">
    <cfRule type="duplicateValues" dxfId="4652" priority="58"/>
  </conditionalFormatting>
  <conditionalFormatting sqref="G27">
    <cfRule type="duplicateValues" dxfId="4651" priority="57"/>
  </conditionalFormatting>
  <conditionalFormatting sqref="G27">
    <cfRule type="duplicateValues" dxfId="4650" priority="56"/>
  </conditionalFormatting>
  <conditionalFormatting sqref="G27">
    <cfRule type="duplicateValues" dxfId="4649" priority="55"/>
  </conditionalFormatting>
  <conditionalFormatting sqref="G27">
    <cfRule type="duplicateValues" dxfId="4648" priority="54"/>
  </conditionalFormatting>
  <conditionalFormatting sqref="G27">
    <cfRule type="duplicateValues" dxfId="4647" priority="53"/>
  </conditionalFormatting>
  <conditionalFormatting sqref="G27">
    <cfRule type="duplicateValues" dxfId="4646" priority="52"/>
  </conditionalFormatting>
  <conditionalFormatting sqref="G27">
    <cfRule type="duplicateValues" dxfId="4645" priority="51"/>
  </conditionalFormatting>
  <conditionalFormatting sqref="G27">
    <cfRule type="duplicateValues" dxfId="4644" priority="50"/>
  </conditionalFormatting>
  <conditionalFormatting sqref="G27">
    <cfRule type="duplicateValues" dxfId="4643" priority="49"/>
  </conditionalFormatting>
  <conditionalFormatting sqref="G27">
    <cfRule type="duplicateValues" dxfId="4642" priority="48"/>
  </conditionalFormatting>
  <conditionalFormatting sqref="G27">
    <cfRule type="duplicateValues" dxfId="4641" priority="47"/>
  </conditionalFormatting>
  <conditionalFormatting sqref="G27">
    <cfRule type="duplicateValues" dxfId="4640" priority="46"/>
  </conditionalFormatting>
  <conditionalFormatting sqref="G27">
    <cfRule type="duplicateValues" dxfId="4639" priority="45"/>
  </conditionalFormatting>
  <conditionalFormatting sqref="G27">
    <cfRule type="duplicateValues" dxfId="4638" priority="44"/>
  </conditionalFormatting>
  <conditionalFormatting sqref="G27">
    <cfRule type="duplicateValues" dxfId="4637" priority="43"/>
  </conditionalFormatting>
  <conditionalFormatting sqref="G27">
    <cfRule type="duplicateValues" dxfId="4636" priority="42"/>
  </conditionalFormatting>
  <conditionalFormatting sqref="G27">
    <cfRule type="duplicateValues" dxfId="4635" priority="41"/>
  </conditionalFormatting>
  <conditionalFormatting sqref="G27">
    <cfRule type="duplicateValues" dxfId="4634" priority="40"/>
  </conditionalFormatting>
  <conditionalFormatting sqref="G27">
    <cfRule type="duplicateValues" dxfId="4633" priority="39"/>
  </conditionalFormatting>
  <conditionalFormatting sqref="G27">
    <cfRule type="duplicateValues" dxfId="4632" priority="38"/>
  </conditionalFormatting>
  <conditionalFormatting sqref="G27">
    <cfRule type="duplicateValues" dxfId="4631" priority="37"/>
  </conditionalFormatting>
  <conditionalFormatting sqref="K7:K10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5">
    <cfRule type="duplicateValues" dxfId="4630" priority="33"/>
  </conditionalFormatting>
  <conditionalFormatting sqref="G15">
    <cfRule type="duplicateValues" dxfId="4629" priority="34"/>
  </conditionalFormatting>
  <conditionalFormatting sqref="K7:K10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0">
    <cfRule type="duplicateValues" dxfId="4628" priority="14"/>
  </conditionalFormatting>
  <conditionalFormatting sqref="G19">
    <cfRule type="duplicateValues" dxfId="4627" priority="13"/>
  </conditionalFormatting>
  <conditionalFormatting sqref="G17">
    <cfRule type="duplicateValues" dxfId="4626" priority="8"/>
  </conditionalFormatting>
  <conditionalFormatting sqref="G13">
    <cfRule type="duplicateValues" dxfId="4625" priority="2"/>
  </conditionalFormatting>
  <conditionalFormatting sqref="G13">
    <cfRule type="duplicateValues" dxfId="4624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C1DFB-30C0-4A3C-A525-7A74848346BB}">
  <sheetPr codeName="Planilha3"/>
  <dimension ref="A1:Q1048544"/>
  <sheetViews>
    <sheetView showGridLines="0" topLeftCell="A25" zoomScaleNormal="100" workbookViewId="0">
      <selection activeCell="C26" sqref="C26"/>
    </sheetView>
  </sheetViews>
  <sheetFormatPr defaultColWidth="9" defaultRowHeight="13" x14ac:dyDescent="0.3"/>
  <cols>
    <col min="1" max="1" width="9" style="6"/>
    <col min="2" max="2" width="44.08984375" style="16" customWidth="1"/>
    <col min="3" max="3" width="45.7265625" style="18" customWidth="1"/>
    <col min="4" max="6" width="3" style="10" customWidth="1"/>
    <col min="7" max="7" width="26.7265625" style="36" bestFit="1" customWidth="1"/>
    <col min="8" max="9" width="8.7265625" style="36" bestFit="1" customWidth="1"/>
    <col min="10" max="10" width="8.6328125" style="36" bestFit="1" customWidth="1"/>
    <col min="11" max="11" width="29.36328125" style="36" bestFit="1" customWidth="1"/>
    <col min="12" max="13" width="8.7265625" style="36" bestFit="1" customWidth="1"/>
    <col min="14" max="14" width="8.6328125" style="36" bestFit="1" customWidth="1"/>
    <col min="15" max="15" width="18.08984375" style="36" customWidth="1"/>
    <col min="16" max="16" width="26.36328125" style="6" customWidth="1"/>
    <col min="17" max="17" width="10.08984375" style="7" customWidth="1"/>
    <col min="18" max="16384" width="9" style="6"/>
  </cols>
  <sheetData>
    <row r="1" spans="1:16" ht="15" customHeight="1" x14ac:dyDescent="0.35">
      <c r="A1" s="176" t="s">
        <v>133</v>
      </c>
      <c r="B1" s="51" t="s">
        <v>3</v>
      </c>
      <c r="C1" s="52" t="s">
        <v>95</v>
      </c>
      <c r="D1" s="52" t="s">
        <v>96</v>
      </c>
      <c r="E1" s="53" t="s">
        <v>97</v>
      </c>
      <c r="F1" s="52" t="s">
        <v>98</v>
      </c>
      <c r="G1" s="54" t="s">
        <v>135</v>
      </c>
      <c r="H1" s="54" t="s">
        <v>121</v>
      </c>
      <c r="I1" s="54" t="s">
        <v>122</v>
      </c>
      <c r="J1" s="54" t="s">
        <v>123</v>
      </c>
      <c r="K1" s="54" t="s">
        <v>100</v>
      </c>
      <c r="L1" s="54" t="s">
        <v>121</v>
      </c>
      <c r="M1" s="54" t="s">
        <v>122</v>
      </c>
      <c r="N1" s="54" t="s">
        <v>123</v>
      </c>
      <c r="O1" s="54" t="s">
        <v>101</v>
      </c>
      <c r="P1" s="15" t="s">
        <v>136</v>
      </c>
    </row>
    <row r="2" spans="1:16" ht="15" customHeight="1" x14ac:dyDescent="0.3">
      <c r="A2" s="176"/>
      <c r="B2" s="128" t="s">
        <v>70</v>
      </c>
      <c r="C2" s="9" t="s">
        <v>55</v>
      </c>
      <c r="D2" s="8">
        <f>COUNTIF(Tabela2[[Motorista]:[Ajudante 2]],MATINAIS!B2)</f>
        <v>1</v>
      </c>
      <c r="E2" s="8">
        <f>COUNTIF(Tabela2[[Motorista]:[Ajudante 2]],MATINAIS!C2)</f>
        <v>1</v>
      </c>
      <c r="F2" s="8">
        <f>COUNTIF(Tabela2[Ajudante 2],MATINAIS!#REF!)</f>
        <v>0</v>
      </c>
      <c r="G2" s="31"/>
      <c r="H2" s="32"/>
      <c r="I2" s="32"/>
      <c r="J2" s="33">
        <f ca="1">I2-$P$2</f>
        <v>-45912.41218796296</v>
      </c>
      <c r="K2" s="78" t="s">
        <v>79</v>
      </c>
      <c r="L2" s="32"/>
      <c r="M2" s="32"/>
      <c r="N2" s="33">
        <f ca="1">M2-P2</f>
        <v>-45912.41218796296</v>
      </c>
      <c r="O2" s="34"/>
      <c r="P2" s="56">
        <f ca="1">NOW()</f>
        <v>45912.41218796296</v>
      </c>
    </row>
    <row r="3" spans="1:16" ht="15" customHeight="1" x14ac:dyDescent="0.3">
      <c r="A3" s="176"/>
      <c r="B3" s="129" t="s">
        <v>73</v>
      </c>
      <c r="C3" s="9" t="s">
        <v>74</v>
      </c>
      <c r="D3" s="8">
        <f>COUNTIF(Tabela2[[Motorista]:[Ajudante 2]],MATINAIS!B3)</f>
        <v>1</v>
      </c>
      <c r="E3" s="8">
        <f>COUNTIF(Tabela2[[Motorista]:[Ajudante 2]],MATINAIS!C3)</f>
        <v>1</v>
      </c>
      <c r="F3" s="8">
        <f>COUNTIF(Tabela2[Ajudante 2],MATINAIS!#REF!)</f>
        <v>0</v>
      </c>
      <c r="G3" s="35"/>
      <c r="H3" s="35"/>
      <c r="I3" s="35"/>
      <c r="J3" s="35"/>
      <c r="K3" s="35"/>
      <c r="L3" s="35"/>
      <c r="M3" s="35"/>
      <c r="N3" s="35"/>
      <c r="O3" s="35"/>
    </row>
    <row r="4" spans="1:16" ht="15" customHeight="1" x14ac:dyDescent="0.3">
      <c r="A4" s="176"/>
      <c r="B4" s="129" t="s">
        <v>102</v>
      </c>
      <c r="C4" s="9" t="s">
        <v>103</v>
      </c>
      <c r="D4" s="8">
        <f>COUNTIF(Tabela2[[Motorista]:[Ajudante 2]],MATINAIS!B4)</f>
        <v>1</v>
      </c>
      <c r="E4" s="8">
        <f>COUNTIF(Tabela2[[Motorista]:[Ajudante 2]],MATINAIS!C4)</f>
        <v>1</v>
      </c>
      <c r="F4" s="8">
        <f>COUNTIF(Tabela2[Ajudante 2],MATINAIS!#REF!)</f>
        <v>0</v>
      </c>
      <c r="G4" s="35"/>
      <c r="H4" s="35"/>
      <c r="I4" s="35"/>
      <c r="J4" s="35"/>
      <c r="K4" s="35"/>
      <c r="L4" s="35"/>
      <c r="M4" s="35"/>
      <c r="N4" s="35"/>
      <c r="O4" s="35"/>
    </row>
    <row r="5" spans="1:16" ht="15" customHeight="1" x14ac:dyDescent="0.3">
      <c r="A5" s="176"/>
      <c r="B5" s="128" t="s">
        <v>39</v>
      </c>
      <c r="C5" s="121" t="s">
        <v>40</v>
      </c>
      <c r="D5" s="8">
        <f>COUNTIF(Tabela2[[Motorista]:[Ajudante 2]],MATINAIS!B5)</f>
        <v>1</v>
      </c>
      <c r="E5" s="8">
        <f>COUNTIF(Tabela2[[Motorista]:[Ajudante 2]],MATINAIS!C5)</f>
        <v>1</v>
      </c>
      <c r="F5" s="8">
        <f>COUNTIF(Tabela2[Ajudante 2],MATINAIS!#REF!)</f>
        <v>0</v>
      </c>
      <c r="G5" s="35"/>
      <c r="H5" s="35"/>
      <c r="I5" s="35"/>
      <c r="J5" s="35"/>
      <c r="K5" s="35"/>
      <c r="L5" s="35"/>
      <c r="M5" s="35"/>
      <c r="N5" s="35"/>
      <c r="O5" s="35"/>
    </row>
    <row r="6" spans="1:16" ht="15" customHeight="1" x14ac:dyDescent="0.3">
      <c r="A6" s="176"/>
      <c r="B6" s="130" t="s">
        <v>104</v>
      </c>
      <c r="C6" s="121" t="s">
        <v>83</v>
      </c>
      <c r="D6" s="8">
        <f>COUNTIF(Tabela2[[Motorista]:[Ajudante 2]],MATINAIS!B6)</f>
        <v>1</v>
      </c>
      <c r="E6" s="8">
        <f>COUNTIF(Tabela2[[Motorista]:[Ajudante 2]],MATINAIS!C6)</f>
        <v>1</v>
      </c>
      <c r="F6" s="8">
        <f>COUNTIF(Tabela2[Ajudante 2],MATINAIS!#REF!)</f>
        <v>0</v>
      </c>
      <c r="G6" s="54" t="s">
        <v>101</v>
      </c>
      <c r="H6" s="54" t="s">
        <v>121</v>
      </c>
      <c r="I6" s="54" t="s">
        <v>122</v>
      </c>
      <c r="J6" s="54" t="s">
        <v>123</v>
      </c>
      <c r="K6" s="35"/>
      <c r="L6" s="35"/>
      <c r="M6" s="35"/>
      <c r="N6" s="35"/>
      <c r="O6" s="35"/>
    </row>
    <row r="7" spans="1:16" ht="15" customHeight="1" x14ac:dyDescent="0.3">
      <c r="A7" s="176"/>
      <c r="B7" s="131" t="s">
        <v>77</v>
      </c>
      <c r="C7" s="9" t="s">
        <v>78</v>
      </c>
      <c r="D7" s="8">
        <f>COUNTIF(Tabela2[[Motorista]:[Ajudante 2]],MATINAIS!B7)</f>
        <v>1</v>
      </c>
      <c r="E7" s="8">
        <f>COUNTIF(Tabela2[[Motorista]:[Ajudante 2]],MATINAIS!C7)</f>
        <v>1</v>
      </c>
      <c r="F7" s="8">
        <f>COUNTIF(Tabela2[Ajudante 2],MATINAIS!#REF!)</f>
        <v>0</v>
      </c>
      <c r="G7" s="74" t="s">
        <v>71</v>
      </c>
      <c r="H7" s="32" t="s">
        <v>300</v>
      </c>
      <c r="I7" s="32">
        <v>45855</v>
      </c>
      <c r="J7" s="33">
        <f ca="1">I7-$P$2</f>
        <v>-57.412187962960161</v>
      </c>
      <c r="K7" s="35"/>
      <c r="L7" s="35"/>
      <c r="M7" s="35"/>
      <c r="N7" s="35"/>
      <c r="O7" s="35"/>
    </row>
    <row r="8" spans="1:16" ht="15" customHeight="1" x14ac:dyDescent="0.3">
      <c r="A8" s="176"/>
      <c r="B8" s="129" t="s">
        <v>41</v>
      </c>
      <c r="C8" s="122" t="s">
        <v>42</v>
      </c>
      <c r="D8" s="8">
        <f>COUNTIF(Tabela2[[Motorista]:[Ajudante 2]],MATINAIS!B8)</f>
        <v>1</v>
      </c>
      <c r="E8" s="8">
        <f>COUNTIF(Tabela2[[Motorista]:[Ajudante 2]],MATINAIS!C8)</f>
        <v>1</v>
      </c>
      <c r="F8" s="8">
        <f>COUNTIF(Tabela2[Ajudante 2],MATINAIS!#REF!)</f>
        <v>0</v>
      </c>
      <c r="K8" s="35"/>
      <c r="L8" s="37"/>
      <c r="M8" s="37"/>
      <c r="N8" s="37"/>
      <c r="O8" s="35"/>
    </row>
    <row r="9" spans="1:16" ht="15" customHeight="1" x14ac:dyDescent="0.3">
      <c r="A9" s="176"/>
      <c r="B9" s="132" t="s">
        <v>91</v>
      </c>
      <c r="C9" s="9" t="s">
        <v>92</v>
      </c>
      <c r="D9" s="8">
        <f>COUNTIF(Tabela2[[Motorista]:[Ajudante 2]],MATINAIS!B9)</f>
        <v>1</v>
      </c>
      <c r="E9" s="8">
        <f>COUNTIF(Tabela2[[Motorista]:[Ajudante 2]],MATINAIS!C9)</f>
        <v>1</v>
      </c>
      <c r="F9" s="8">
        <f>COUNTIF(Tabela2[Ajudante 2],MATINAIS!#REF!)</f>
        <v>0</v>
      </c>
      <c r="L9" s="38"/>
      <c r="M9" s="38"/>
      <c r="N9" s="38"/>
      <c r="O9" s="39"/>
    </row>
    <row r="10" spans="1:16" ht="15" customHeight="1" x14ac:dyDescent="0.3">
      <c r="A10" s="176"/>
      <c r="B10" s="128" t="s">
        <v>80</v>
      </c>
      <c r="C10" s="121" t="s">
        <v>81</v>
      </c>
      <c r="D10" s="8">
        <f>COUNTIF(Tabela2[[Motorista]:[Ajudante 2]],MATINAIS!B10)</f>
        <v>1</v>
      </c>
      <c r="E10" s="8">
        <f>COUNTIF(Tabela2[[Motorista]:[Ajudante 2]],MATINAIS!C10)</f>
        <v>1</v>
      </c>
      <c r="F10" s="8">
        <f>COUNTIF(Tabela2[Ajudante 2],MATINAIS!#REF!)</f>
        <v>0</v>
      </c>
      <c r="K10" s="38"/>
      <c r="O10" s="40"/>
    </row>
    <row r="11" spans="1:16" ht="15" customHeight="1" x14ac:dyDescent="0.3">
      <c r="A11" s="176"/>
      <c r="B11" s="134" t="s">
        <v>165</v>
      </c>
      <c r="C11" s="121" t="s">
        <v>105</v>
      </c>
      <c r="D11" s="8">
        <f>COUNTIF(Tabela2[[Motorista]:[Ajudante 2]],MATINAIS!B11)</f>
        <v>1</v>
      </c>
      <c r="E11" s="8">
        <f>COUNTIF(Tabela2[[Motorista]:[Ajudante 2]],MATINAIS!C11)</f>
        <v>1</v>
      </c>
      <c r="F11" s="8">
        <f>COUNTIF(Tabela2[Ajudante 2],MATINAIS!#REF!)</f>
        <v>0</v>
      </c>
      <c r="K11" s="41"/>
      <c r="L11" s="41"/>
      <c r="M11" s="41"/>
      <c r="N11" s="41"/>
      <c r="O11" s="42"/>
      <c r="P11" s="15"/>
    </row>
    <row r="12" spans="1:16" ht="15" customHeight="1" x14ac:dyDescent="0.3">
      <c r="A12" s="176"/>
      <c r="B12" s="171" t="s">
        <v>82</v>
      </c>
      <c r="C12" s="121" t="s">
        <v>107</v>
      </c>
      <c r="D12" s="8">
        <f>COUNTIF(Tabela2[[Motorista]:[Ajudante 2]],MATINAIS!B12)</f>
        <v>0</v>
      </c>
      <c r="E12" s="8">
        <f>COUNTIF(Tabela2[[Motorista]:[Ajudante 2]],MATINAIS!C12)</f>
        <v>1</v>
      </c>
      <c r="F12" s="8">
        <f>COUNTIF(Tabela2[Ajudante 2],MATINAIS!#REF!)</f>
        <v>0</v>
      </c>
      <c r="K12" s="39"/>
      <c r="L12" s="39"/>
      <c r="M12" s="39"/>
      <c r="N12" s="39"/>
      <c r="O12" s="43"/>
      <c r="P12" s="15"/>
    </row>
    <row r="13" spans="1:16" ht="15" customHeight="1" x14ac:dyDescent="0.3">
      <c r="A13" s="176"/>
      <c r="B13" s="135" t="s">
        <v>68</v>
      </c>
      <c r="C13" s="121" t="s">
        <v>69</v>
      </c>
      <c r="D13" s="8">
        <f>COUNTIF(Tabela2[[Motorista]:[Ajudante 2]],MATINAIS!B13)</f>
        <v>1</v>
      </c>
      <c r="E13" s="8">
        <f>COUNTIF(Tabela2[[Motorista]:[Ajudante 2]],MATINAIS!C13)</f>
        <v>1</v>
      </c>
      <c r="F13" s="8">
        <f>COUNTIF(Tabela2[Ajudante 2],MATINAIS!#REF!)</f>
        <v>0</v>
      </c>
      <c r="K13" s="39"/>
      <c r="L13" s="39"/>
      <c r="M13" s="39"/>
      <c r="N13" s="39"/>
      <c r="O13" s="35"/>
      <c r="P13" s="15"/>
    </row>
    <row r="14" spans="1:16" ht="15" customHeight="1" x14ac:dyDescent="0.3">
      <c r="A14" s="176"/>
      <c r="B14" s="129" t="s">
        <v>33</v>
      </c>
      <c r="C14" s="9" t="s">
        <v>34</v>
      </c>
      <c r="D14" s="8">
        <f>COUNTIF(Tabela2[[Motorista]:[Ajudante 2]],MATINAIS!B14)</f>
        <v>1</v>
      </c>
      <c r="E14" s="8">
        <f>COUNTIF(Tabela2[[Motorista]:[Ajudante 2]],MATINAIS!C14)</f>
        <v>1</v>
      </c>
      <c r="F14" s="8">
        <f>COUNTIF(Tabela2[Ajudante 2],MATINAIS!#REF!)</f>
        <v>0</v>
      </c>
      <c r="K14" s="39"/>
      <c r="L14" s="39"/>
      <c r="M14" s="39"/>
      <c r="N14" s="39"/>
      <c r="O14" s="43"/>
    </row>
    <row r="15" spans="1:16" ht="15" customHeight="1" x14ac:dyDescent="0.3">
      <c r="A15" s="176"/>
      <c r="B15" s="133" t="s">
        <v>64</v>
      </c>
      <c r="C15" s="9" t="s">
        <v>52</v>
      </c>
      <c r="D15" s="8">
        <f>COUNTIF(Tabela2[[Motorista]:[Ajudante 2]],MATINAIS!B15)</f>
        <v>1</v>
      </c>
      <c r="E15" s="8">
        <f>COUNTIF(Tabela2[[Motorista]:[Ajudante 2]],MATINAIS!C15)</f>
        <v>1</v>
      </c>
      <c r="F15" s="8">
        <f>COUNTIF(Tabela2[Ajudante 2],MATINAIS!#REF!)</f>
        <v>0</v>
      </c>
      <c r="K15" s="39"/>
      <c r="L15" s="39"/>
      <c r="M15" s="39"/>
      <c r="N15" s="39"/>
      <c r="O15" s="43"/>
    </row>
    <row r="16" spans="1:16" ht="15" customHeight="1" x14ac:dyDescent="0.3">
      <c r="A16" s="176"/>
      <c r="B16" s="133" t="s">
        <v>88</v>
      </c>
      <c r="C16" s="121" t="s">
        <v>89</v>
      </c>
      <c r="D16" s="8">
        <f>COUNTIF(Tabela2[[Motorista]:[Ajudante 2]],MATINAIS!B16)</f>
        <v>1</v>
      </c>
      <c r="E16" s="8">
        <f>COUNTIF(Tabela2[[Motorista]:[Ajudante 2]],MATINAIS!C16)</f>
        <v>1</v>
      </c>
      <c r="F16" s="8">
        <f>COUNTIF(Tabela2[Ajudante 2],MATINAIS!#REF!)</f>
        <v>0</v>
      </c>
      <c r="K16" s="39"/>
      <c r="L16" s="39"/>
      <c r="M16" s="39"/>
      <c r="N16" s="39"/>
      <c r="O16" s="35"/>
      <c r="P16" s="15"/>
    </row>
    <row r="17" spans="1:16" ht="15" customHeight="1" x14ac:dyDescent="0.3">
      <c r="A17" s="176"/>
      <c r="B17" s="132"/>
      <c r="C17" s="9" t="s">
        <v>108</v>
      </c>
      <c r="D17" s="8">
        <f>COUNTIF(Tabela2[[Motorista]:[Ajudante 2]],MATINAIS!B17)</f>
        <v>138</v>
      </c>
      <c r="E17" s="8">
        <f>COUNTIF(Tabela2[[Motorista]:[Ajudante 2]],MATINAIS!C17)</f>
        <v>1</v>
      </c>
      <c r="F17" s="8">
        <f>COUNTIF(Tabela2[Ajudante 2],MATINAIS!#REF!)</f>
        <v>0</v>
      </c>
      <c r="K17" s="44"/>
      <c r="L17" s="44"/>
      <c r="M17" s="44"/>
      <c r="N17" s="44"/>
      <c r="O17" s="45"/>
      <c r="P17" s="15"/>
    </row>
    <row r="18" spans="1:16" ht="15" customHeight="1" x14ac:dyDescent="0.3">
      <c r="A18" s="176"/>
      <c r="B18" s="133"/>
      <c r="C18" s="9" t="s">
        <v>71</v>
      </c>
      <c r="D18" s="8">
        <f>COUNTIF(Tabela2[[Motorista]:[Ajudante 2]],MATINAIS!B18)</f>
        <v>138</v>
      </c>
      <c r="E18" s="8">
        <f>COUNTIF(Tabela2[[Motorista]:[Ajudante 2]],MATINAIS!C18)</f>
        <v>1</v>
      </c>
      <c r="F18" s="8">
        <f>COUNTIF(Tabela2[Ajudante 2],MATINAIS!#REF!)</f>
        <v>0</v>
      </c>
      <c r="K18" s="44"/>
      <c r="L18" s="44"/>
      <c r="M18" s="44"/>
      <c r="N18" s="44"/>
      <c r="O18" s="45"/>
      <c r="P18" s="15"/>
    </row>
    <row r="19" spans="1:16" ht="15" customHeight="1" x14ac:dyDescent="0.3">
      <c r="A19" s="176"/>
      <c r="B19" s="133"/>
      <c r="C19" s="9"/>
      <c r="D19" s="8">
        <f>COUNTIF(Tabela2[[Motorista]:[Ajudante 2]],MATINAIS!B19)</f>
        <v>138</v>
      </c>
      <c r="E19" s="8">
        <f>COUNTIF(Tabela2[[Motorista]:[Ajudante 2]],MATINAIS!C19)</f>
        <v>138</v>
      </c>
      <c r="F19" s="8">
        <f>COUNTIF(Tabela2[Ajudante 2],MATINAIS!#REF!)</f>
        <v>0</v>
      </c>
      <c r="K19" s="44"/>
      <c r="L19" s="44"/>
      <c r="M19" s="44"/>
      <c r="N19" s="44"/>
      <c r="O19" s="45"/>
      <c r="P19" s="15"/>
    </row>
    <row r="20" spans="1:16" ht="15" customHeight="1" x14ac:dyDescent="0.3">
      <c r="B20" s="17"/>
      <c r="C20" s="17"/>
      <c r="D20" s="17"/>
      <c r="E20" s="17"/>
      <c r="F20" s="17"/>
      <c r="G20" s="44"/>
      <c r="H20" s="44"/>
      <c r="I20" s="44"/>
      <c r="J20" s="44"/>
      <c r="K20" s="44"/>
      <c r="L20" s="44"/>
      <c r="M20" s="44"/>
      <c r="N20" s="44"/>
      <c r="O20" s="44"/>
      <c r="P20" s="19"/>
    </row>
    <row r="21" spans="1:16" ht="15" customHeight="1" x14ac:dyDescent="0.3">
      <c r="B21" s="17"/>
      <c r="C21" s="17"/>
      <c r="D21" s="17"/>
      <c r="E21" s="17"/>
      <c r="F21" s="17"/>
      <c r="G21" s="44"/>
      <c r="H21" s="44"/>
      <c r="I21" s="44"/>
      <c r="J21" s="44"/>
      <c r="K21" s="44"/>
      <c r="L21" s="44"/>
      <c r="M21" s="44"/>
      <c r="N21" s="44"/>
      <c r="O21" s="44"/>
      <c r="P21" s="19"/>
    </row>
    <row r="22" spans="1:16" ht="15" customHeight="1" x14ac:dyDescent="0.35">
      <c r="A22" s="176" t="s">
        <v>134</v>
      </c>
      <c r="B22" s="55" t="s">
        <v>3</v>
      </c>
      <c r="C22" s="52" t="s">
        <v>95</v>
      </c>
      <c r="D22" s="52" t="s">
        <v>96</v>
      </c>
      <c r="E22" s="53" t="s">
        <v>97</v>
      </c>
      <c r="F22" s="52" t="s">
        <v>98</v>
      </c>
      <c r="G22" s="54" t="s">
        <v>99</v>
      </c>
      <c r="H22" s="54" t="s">
        <v>121</v>
      </c>
      <c r="I22" s="54" t="s">
        <v>122</v>
      </c>
      <c r="J22" s="54" t="s">
        <v>123</v>
      </c>
      <c r="K22" s="54" t="s">
        <v>100</v>
      </c>
      <c r="L22" s="54" t="s">
        <v>121</v>
      </c>
      <c r="M22" s="54" t="s">
        <v>122</v>
      </c>
      <c r="N22" s="54" t="s">
        <v>123</v>
      </c>
      <c r="O22" s="54" t="s">
        <v>101</v>
      </c>
    </row>
    <row r="23" spans="1:16" ht="15" customHeight="1" x14ac:dyDescent="0.3">
      <c r="A23" s="176"/>
      <c r="B23" s="120" t="s">
        <v>62</v>
      </c>
      <c r="C23" s="9" t="s">
        <v>63</v>
      </c>
      <c r="D23" s="8">
        <f>COUNTIF(Tabela2[[Motorista]:[Ajudante 2]],MATINAIS!B23)</f>
        <v>1</v>
      </c>
      <c r="E23" s="8">
        <f>COUNTIF(Tabela2[[Motorista]:[Ajudante 2]],MATINAIS!C23)</f>
        <v>1</v>
      </c>
      <c r="F23" s="8">
        <f>COUNTIF(Tabela2[Ajudante 2],MATINAIS!C23)</f>
        <v>0</v>
      </c>
      <c r="G23" s="78" t="s">
        <v>47</v>
      </c>
      <c r="H23" s="32"/>
      <c r="I23" s="32"/>
      <c r="J23" s="33">
        <f ca="1">I23-$P$2</f>
        <v>-45912.41218796296</v>
      </c>
      <c r="K23" s="31"/>
      <c r="L23" s="32"/>
      <c r="M23" s="32"/>
      <c r="N23" s="33">
        <f ca="1">M23-P2</f>
        <v>-45912.41218796296</v>
      </c>
      <c r="O23" s="46"/>
    </row>
    <row r="24" spans="1:16" ht="15" customHeight="1" x14ac:dyDescent="0.3">
      <c r="A24" s="176"/>
      <c r="B24" s="170" t="s">
        <v>66</v>
      </c>
      <c r="C24" s="122" t="s">
        <v>36</v>
      </c>
      <c r="D24" s="8">
        <f>COUNTIF(Tabela2[[Motorista]:[Ajudante 2]],MATINAIS!B24)</f>
        <v>0</v>
      </c>
      <c r="E24" s="8">
        <f>COUNTIF(Tabela2[[Motorista]:[Ajudante 2]],MATINAIS!C24)</f>
        <v>1</v>
      </c>
      <c r="F24" s="8">
        <f>COUNTIF(Tabela2[Ajudante 2],MATINAIS!C24)</f>
        <v>0</v>
      </c>
      <c r="G24" s="79" t="s">
        <v>56</v>
      </c>
      <c r="H24" s="32"/>
      <c r="I24" s="32"/>
      <c r="J24" s="33">
        <f ca="1">I24-$P$2</f>
        <v>-45912.41218796296</v>
      </c>
      <c r="K24" s="78"/>
      <c r="L24" s="32"/>
      <c r="M24" s="32"/>
      <c r="N24" s="33">
        <f ca="1">M24-P2</f>
        <v>-45912.41218796296</v>
      </c>
      <c r="O24" s="46"/>
      <c r="P24" s="13"/>
    </row>
    <row r="25" spans="1:16" ht="15" customHeight="1" x14ac:dyDescent="0.3">
      <c r="A25" s="176"/>
      <c r="B25" s="120" t="s">
        <v>50</v>
      </c>
      <c r="C25" s="9" t="s">
        <v>51</v>
      </c>
      <c r="D25" s="8">
        <f>COUNTIF(Tabela2[[Motorista]:[Ajudante 2]],MATINAIS!B25)</f>
        <v>1</v>
      </c>
      <c r="E25" s="8">
        <f>COUNTIF(Tabela2[[Motorista]:[Ajudante 2]],MATINAIS!C25)</f>
        <v>1</v>
      </c>
      <c r="F25" s="8">
        <f>COUNTIF(Tabela2[Ajudante 2],MATINAIS!C25)</f>
        <v>0</v>
      </c>
      <c r="G25" s="31" t="s">
        <v>35</v>
      </c>
      <c r="H25" s="32">
        <v>45840</v>
      </c>
      <c r="I25" s="32">
        <v>45869</v>
      </c>
      <c r="J25" s="33">
        <f ca="1">I25-P2</f>
        <v>-43.412187962960161</v>
      </c>
      <c r="K25" s="31"/>
      <c r="L25" s="32"/>
      <c r="M25" s="32"/>
      <c r="N25" s="33"/>
      <c r="O25" s="39"/>
      <c r="P25" s="13"/>
    </row>
    <row r="26" spans="1:16" ht="15" customHeight="1" x14ac:dyDescent="0.3">
      <c r="A26" s="176"/>
      <c r="B26" s="122" t="s">
        <v>37</v>
      </c>
      <c r="C26" s="169" t="s">
        <v>38</v>
      </c>
      <c r="D26" s="8">
        <f>COUNTIF(Tabela2[[Motorista]:[Ajudante 2]],MATINAIS!B26)</f>
        <v>1</v>
      </c>
      <c r="E26" s="8">
        <f>COUNTIF(Tabela2[[Motorista]:[Ajudante 2]],MATINAIS!C26)</f>
        <v>1</v>
      </c>
      <c r="F26" s="8">
        <f>COUNTIF(Tabela2[Ajudante 2],MATINAIS!C26)</f>
        <v>1</v>
      </c>
      <c r="G26" s="47"/>
      <c r="H26" s="39"/>
      <c r="I26" s="39"/>
      <c r="J26" s="39"/>
      <c r="K26" s="39"/>
      <c r="L26" s="39"/>
      <c r="M26" s="39"/>
      <c r="N26" s="39"/>
      <c r="O26" s="39"/>
      <c r="P26" s="13"/>
    </row>
    <row r="27" spans="1:16" ht="15" customHeight="1" x14ac:dyDescent="0.3">
      <c r="A27" s="176"/>
      <c r="B27" s="9" t="s">
        <v>49</v>
      </c>
      <c r="C27" s="121" t="s">
        <v>111</v>
      </c>
      <c r="D27" s="8">
        <f>COUNTIF(Tabela2[[Motorista]:[Ajudante 2]],MATINAIS!B27)</f>
        <v>1</v>
      </c>
      <c r="E27" s="8">
        <f>COUNTIF(Tabela2[[Motorista]:[Ajudante 2]],MATINAIS!C27)</f>
        <v>0</v>
      </c>
      <c r="F27" s="8">
        <f>COUNTIF(Tabela2[Ajudante 2],MATINAIS!C27)</f>
        <v>0</v>
      </c>
      <c r="G27" s="47"/>
      <c r="H27" s="39"/>
      <c r="I27" s="39"/>
      <c r="J27" s="39"/>
      <c r="K27" s="39"/>
      <c r="L27" s="39"/>
      <c r="M27" s="39"/>
      <c r="N27" s="39"/>
      <c r="O27" s="39"/>
      <c r="P27" s="13"/>
    </row>
    <row r="28" spans="1:16" ht="15" customHeight="1" x14ac:dyDescent="0.3">
      <c r="A28" s="176"/>
      <c r="B28" s="9" t="s">
        <v>112</v>
      </c>
      <c r="C28" s="121" t="s">
        <v>109</v>
      </c>
      <c r="D28" s="8">
        <f>COUNTIF(Tabela2[[Motorista]:[Ajudante 2]],MATINAIS!B28)</f>
        <v>1</v>
      </c>
      <c r="E28" s="8">
        <f>COUNTIF(Tabela2[[Motorista]:[Ajudante 2]],MATINAIS!C28)</f>
        <v>1</v>
      </c>
      <c r="F28" s="8">
        <f>COUNTIF(Tabela2[Ajudante 2],MATINAIS!C28)</f>
        <v>1</v>
      </c>
      <c r="G28" s="47"/>
      <c r="H28" s="39"/>
      <c r="I28" s="39"/>
      <c r="J28" s="39"/>
      <c r="K28" s="39"/>
      <c r="L28" s="39"/>
      <c r="M28" s="39"/>
      <c r="N28" s="39"/>
      <c r="O28" s="39"/>
      <c r="P28" s="13"/>
    </row>
    <row r="29" spans="1:16" ht="15" customHeight="1" x14ac:dyDescent="0.3">
      <c r="A29" s="176"/>
      <c r="B29" s="123" t="s">
        <v>114</v>
      </c>
      <c r="C29" s="121" t="s">
        <v>67</v>
      </c>
      <c r="D29" s="8">
        <f>COUNTIF(Tabela2[[Motorista]:[Ajudante 2]],MATINAIS!B29)</f>
        <v>1</v>
      </c>
      <c r="E29" s="8">
        <f>COUNTIF(Tabela2[[Motorista]:[Ajudante 2]],MATINAIS!C29)</f>
        <v>1</v>
      </c>
      <c r="F29" s="8">
        <f>COUNTIF(Tabela2[Ajudante 2],MATINAIS!C29)</f>
        <v>0</v>
      </c>
      <c r="G29" s="47"/>
      <c r="H29" s="35" t="s">
        <v>115</v>
      </c>
      <c r="I29" s="35"/>
      <c r="J29" s="35"/>
      <c r="K29" s="35"/>
      <c r="L29" s="35"/>
      <c r="M29" s="35"/>
      <c r="N29" s="35"/>
      <c r="O29" s="39"/>
      <c r="P29" s="13"/>
    </row>
    <row r="30" spans="1:16" ht="15" customHeight="1" x14ac:dyDescent="0.3">
      <c r="A30" s="176"/>
      <c r="B30" s="124" t="s">
        <v>75</v>
      </c>
      <c r="C30" s="122" t="s">
        <v>76</v>
      </c>
      <c r="D30" s="8">
        <f>COUNTIF(Tabela2[[Motorista]:[Ajudante 2]],MATINAIS!B30)</f>
        <v>1</v>
      </c>
      <c r="E30" s="8">
        <f>COUNTIF(Tabela2[[Motorista]:[Ajudante 2]],MATINAIS!C30)</f>
        <v>1</v>
      </c>
      <c r="F30" s="8">
        <f>COUNTIF(Tabela2[Ajudante 2],MATINAIS!C30)</f>
        <v>0</v>
      </c>
      <c r="G30" s="47"/>
      <c r="K30" s="35"/>
      <c r="L30" s="35"/>
      <c r="M30" s="35"/>
      <c r="N30" s="35"/>
      <c r="O30" s="39"/>
      <c r="P30" s="13"/>
    </row>
    <row r="31" spans="1:16" ht="15" customHeight="1" x14ac:dyDescent="0.3">
      <c r="A31" s="176"/>
      <c r="B31" s="153" t="s">
        <v>93</v>
      </c>
      <c r="C31" s="121" t="s">
        <v>48</v>
      </c>
      <c r="D31" s="8">
        <f>COUNTIF(Tabela2[[Motorista]:[Ajudante 2]],MATINAIS!B31)</f>
        <v>1</v>
      </c>
      <c r="E31" s="8">
        <f>COUNTIF(Tabela2[[Motorista]:[Ajudante 2]],MATINAIS!C31)</f>
        <v>1</v>
      </c>
      <c r="F31" s="8">
        <f>COUNTIF(Tabela2[Ajudante 2],MATINAIS!C31)</f>
        <v>0</v>
      </c>
      <c r="G31" s="47"/>
      <c r="O31" s="39"/>
      <c r="P31" s="11"/>
    </row>
    <row r="32" spans="1:16" ht="15" customHeight="1" x14ac:dyDescent="0.3">
      <c r="A32" s="176"/>
      <c r="B32" s="125" t="s">
        <v>85</v>
      </c>
      <c r="C32" s="9" t="s">
        <v>57</v>
      </c>
      <c r="D32" s="8">
        <f>COUNTIF(Tabela2[[Motorista]:[Ajudante 2]],MATINAIS!B32)</f>
        <v>1</v>
      </c>
      <c r="E32" s="8">
        <f>COUNTIF(Tabela2[[Motorista]:[Ajudante 2]],MATINAIS!C32)</f>
        <v>1</v>
      </c>
      <c r="F32" s="8">
        <f>COUNTIF(Tabela2[Ajudante 2],MATINAIS!C32)</f>
        <v>1</v>
      </c>
      <c r="G32" s="47"/>
      <c r="H32" s="39"/>
      <c r="I32" s="39"/>
      <c r="J32" s="39"/>
      <c r="K32" s="47"/>
      <c r="L32" s="47"/>
      <c r="M32" s="47"/>
      <c r="N32" s="47"/>
      <c r="O32" s="39"/>
      <c r="P32" s="13"/>
    </row>
    <row r="33" spans="1:16" ht="15" customHeight="1" x14ac:dyDescent="0.3">
      <c r="A33" s="176"/>
      <c r="B33" s="125" t="s">
        <v>45</v>
      </c>
      <c r="C33" s="122" t="s">
        <v>46</v>
      </c>
      <c r="D33" s="8">
        <f>COUNTIF(Tabela2[[Motorista]:[Ajudante 2]],MATINAIS!B33)</f>
        <v>2</v>
      </c>
      <c r="E33" s="8">
        <f>COUNTIF(Tabela2[[Motorista]:[Ajudante 2]],MATINAIS!C33)</f>
        <v>2</v>
      </c>
      <c r="F33" s="8">
        <f>COUNTIF(Tabela2[Ajudante 2],MATINAIS!C33)</f>
        <v>0</v>
      </c>
      <c r="G33" s="47"/>
      <c r="H33" s="38"/>
      <c r="I33" s="38"/>
      <c r="J33" s="38"/>
      <c r="K33" s="47"/>
      <c r="L33" s="47"/>
      <c r="M33" s="47"/>
      <c r="N33" s="47"/>
      <c r="O33" s="38"/>
      <c r="P33" s="12"/>
    </row>
    <row r="34" spans="1:16" ht="15" customHeight="1" x14ac:dyDescent="0.3">
      <c r="A34" s="176"/>
      <c r="B34" s="126" t="s">
        <v>58</v>
      </c>
      <c r="C34" s="121" t="s">
        <v>110</v>
      </c>
      <c r="D34" s="8">
        <f>COUNTIF(Tabela2[[Motorista]:[Ajudante 2]],MATINAIS!B34)</f>
        <v>1</v>
      </c>
      <c r="E34" s="8">
        <f>COUNTIF(Tabela2[[Motorista]:[Ajudante 2]],MATINAIS!C34)</f>
        <v>1</v>
      </c>
      <c r="F34" s="8">
        <f>COUNTIF(Tabela2[Ajudante 2],MATINAIS!C34)</f>
        <v>0</v>
      </c>
      <c r="G34" s="47"/>
      <c r="H34" s="41"/>
      <c r="I34" s="41"/>
      <c r="J34" s="41"/>
      <c r="K34" s="47"/>
      <c r="L34" s="47"/>
      <c r="M34" s="47"/>
      <c r="N34" s="47"/>
      <c r="O34" s="41"/>
      <c r="P34" s="14"/>
    </row>
    <row r="35" spans="1:16" ht="15" customHeight="1" x14ac:dyDescent="0.3">
      <c r="A35" s="176"/>
      <c r="B35" s="127" t="s">
        <v>43</v>
      </c>
      <c r="C35" s="9" t="s">
        <v>44</v>
      </c>
      <c r="D35" s="8">
        <f>COUNTIF(Tabela2[[Motorista]:[Ajudante 2]],MATINAIS!B35)</f>
        <v>1</v>
      </c>
      <c r="E35" s="8">
        <f>COUNTIF(Tabela2[[Motorista]:[Ajudante 2]],MATINAIS!C35)</f>
        <v>1</v>
      </c>
      <c r="F35" s="8">
        <f>COUNTIF(Tabela2[Ajudante 2],MATINAIS!C35)</f>
        <v>0</v>
      </c>
      <c r="G35" s="47"/>
      <c r="H35" s="44"/>
      <c r="I35" s="44"/>
      <c r="J35" s="44"/>
      <c r="K35" s="47"/>
      <c r="L35" s="47"/>
      <c r="M35" s="47"/>
      <c r="N35" s="47"/>
    </row>
    <row r="36" spans="1:16" ht="15" customHeight="1" x14ac:dyDescent="0.3">
      <c r="A36" s="176"/>
      <c r="B36" s="127"/>
      <c r="C36" s="9" t="s">
        <v>116</v>
      </c>
      <c r="D36" s="8">
        <f>COUNTIF(Tabela2[[Motorista]:[Ajudante 2]],MATINAIS!B36)</f>
        <v>138</v>
      </c>
      <c r="E36" s="8">
        <f>COUNTIF(Tabela2[[Motorista]:[Ajudante 2]],MATINAIS!C36)</f>
        <v>1</v>
      </c>
      <c r="F36" s="8">
        <f>COUNTIF(Tabela2[Ajudante 2],MATINAIS!C36)</f>
        <v>1</v>
      </c>
      <c r="G36" s="47"/>
      <c r="H36" s="44"/>
      <c r="I36" s="44"/>
      <c r="J36" s="44"/>
      <c r="K36" s="47"/>
      <c r="L36" s="47"/>
      <c r="M36" s="47"/>
      <c r="N36" s="47"/>
    </row>
    <row r="37" spans="1:16" ht="15" customHeight="1" x14ac:dyDescent="0.3">
      <c r="A37" s="176"/>
      <c r="B37" s="127"/>
      <c r="C37" s="9" t="s">
        <v>137</v>
      </c>
      <c r="D37" s="8">
        <f>COUNTIF(Tabela2[[Motorista]:[Ajudante 2]],MATINAIS!B37)</f>
        <v>138</v>
      </c>
      <c r="E37" s="8">
        <f>COUNTIF(Tabela2[[Motorista]:[Ajudante 2]],MATINAIS!C37)</f>
        <v>1</v>
      </c>
      <c r="F37" s="8">
        <f>COUNTIF(Tabela2[Ajudante 2],MATINAIS!C37)</f>
        <v>1</v>
      </c>
      <c r="G37" s="47"/>
      <c r="H37" s="44"/>
      <c r="I37" s="44"/>
      <c r="J37" s="44"/>
      <c r="K37" s="47"/>
      <c r="L37" s="47"/>
      <c r="M37" s="47"/>
      <c r="N37" s="47"/>
    </row>
    <row r="38" spans="1:16" ht="15" customHeight="1" x14ac:dyDescent="0.3">
      <c r="A38" s="176"/>
      <c r="B38" s="31"/>
      <c r="C38" s="9" t="s">
        <v>113</v>
      </c>
      <c r="D38" s="8">
        <f>COUNTIF(Tabela2[[Motorista]:[Ajudante 2]],MATINAIS!B38)</f>
        <v>138</v>
      </c>
      <c r="E38" s="8">
        <f>COUNTIF(Tabela2[[Motorista]:[Ajudante 2]],MATINAIS!C38)</f>
        <v>1</v>
      </c>
      <c r="F38" s="8">
        <f>COUNTIF(Tabela2[Ajudante 2],MATINAIS!C38)</f>
        <v>1</v>
      </c>
      <c r="G38" s="47"/>
      <c r="H38" s="44"/>
      <c r="I38" s="44"/>
      <c r="J38" s="44"/>
      <c r="K38" s="47"/>
      <c r="L38" s="47"/>
      <c r="M38" s="47"/>
      <c r="N38" s="47"/>
    </row>
    <row r="39" spans="1:16" ht="15" customHeight="1" x14ac:dyDescent="0.3">
      <c r="A39" s="176"/>
      <c r="B39" s="120"/>
      <c r="C39" s="9" t="s">
        <v>94</v>
      </c>
      <c r="D39" s="8">
        <f>COUNTIF(Tabela2[[Motorista]:[Ajudante 2]],MATINAIS!B39)</f>
        <v>138</v>
      </c>
      <c r="E39" s="8">
        <f>COUNTIF(Tabela2[[Motorista]:[Ajudante 2]],MATINAIS!C39)</f>
        <v>1</v>
      </c>
      <c r="F39" s="8">
        <f>COUNTIF(Tabela2[Ajudante 2],MATINAIS!C39)</f>
        <v>0</v>
      </c>
      <c r="G39" s="47"/>
      <c r="H39" s="44"/>
      <c r="I39" s="44"/>
      <c r="J39" s="44"/>
    </row>
    <row r="40" spans="1:16" ht="15" customHeight="1" x14ac:dyDescent="0.3">
      <c r="A40" s="176"/>
      <c r="B40" s="121"/>
      <c r="C40" s="121" t="s">
        <v>87</v>
      </c>
      <c r="D40" s="8">
        <f>COUNTIF(Tabela2[[Motorista]:[Ajudante 2]],MATINAIS!B40)</f>
        <v>138</v>
      </c>
      <c r="E40" s="8">
        <f>COUNTIF(Tabela2[[Motorista]:[Ajudante 2]],MATINAIS!C40)</f>
        <v>1</v>
      </c>
      <c r="F40" s="8">
        <f>COUNTIF(Tabela2[Ajudante 2],MATINAIS!C40)</f>
        <v>1</v>
      </c>
      <c r="G40" s="47"/>
      <c r="H40" s="44"/>
      <c r="I40" s="44"/>
      <c r="J40" s="44"/>
    </row>
    <row r="41" spans="1:16" ht="15" customHeight="1" x14ac:dyDescent="0.3">
      <c r="A41" s="176"/>
      <c r="B41" s="120"/>
      <c r="C41" s="121" t="s">
        <v>59</v>
      </c>
      <c r="D41" s="8">
        <f>COUNTIF(Tabela2[[Motorista]:[Ajudante 2]],MATINAIS!B41)</f>
        <v>138</v>
      </c>
      <c r="E41" s="8">
        <f>COUNTIF(Tabela2[[Motorista]:[Ajudante 2]],MATINAIS!C41)</f>
        <v>2</v>
      </c>
      <c r="F41" s="8">
        <f>COUNTIF(Tabela2[Ajudante 2],MATINAIS!C41)</f>
        <v>1</v>
      </c>
      <c r="G41" s="47"/>
      <c r="H41" s="44"/>
      <c r="I41" s="44"/>
      <c r="J41" s="44"/>
    </row>
    <row r="42" spans="1:16" ht="15" customHeight="1" x14ac:dyDescent="0.3">
      <c r="A42" s="176"/>
      <c r="B42" s="121"/>
      <c r="C42" s="121" t="s">
        <v>61</v>
      </c>
      <c r="D42" s="8">
        <f>COUNTIF(Tabela2[[Motorista]:[Ajudante 2]],MATINAIS!B42)</f>
        <v>138</v>
      </c>
      <c r="E42" s="8">
        <f>COUNTIF(Tabela2[[Motorista]:[Ajudante 2]],MATINAIS!C42)</f>
        <v>1</v>
      </c>
      <c r="F42" s="8">
        <f>COUNTIF(Tabela2[Ajudante 2],MATINAIS!C42)</f>
        <v>0</v>
      </c>
      <c r="G42" s="47"/>
      <c r="H42" s="44"/>
      <c r="I42" s="44"/>
      <c r="J42" s="44"/>
    </row>
    <row r="43" spans="1:16" ht="15" customHeight="1" x14ac:dyDescent="0.3">
      <c r="B43" s="134"/>
      <c r="C43" s="134"/>
      <c r="D43" s="8">
        <f>COUNTIF(Tabela2[[Motorista]:[Ajudante 2]],MATINAIS!B43)</f>
        <v>138</v>
      </c>
      <c r="E43" s="8">
        <f>COUNTIF(Tabela2[[Motorista]:[Ajudante 2]],MATINAIS!C42)</f>
        <v>1</v>
      </c>
      <c r="F43" s="8">
        <f>COUNTIF(Tabela2[Ajudante 2],MATINAIS!C42)</f>
        <v>0</v>
      </c>
      <c r="G43" s="47"/>
      <c r="H43" s="47"/>
      <c r="I43" s="47"/>
      <c r="J43" s="47"/>
      <c r="K43" s="47"/>
      <c r="L43" s="47"/>
      <c r="M43" s="47"/>
      <c r="N43" s="47"/>
      <c r="O43" s="47"/>
    </row>
    <row r="44" spans="1:16" ht="15" customHeight="1" x14ac:dyDescent="0.3">
      <c r="D44" s="16"/>
      <c r="E44" s="16"/>
      <c r="F44" s="16"/>
      <c r="G44" s="47"/>
      <c r="H44" s="47"/>
      <c r="I44" s="47"/>
      <c r="J44" s="47"/>
      <c r="K44" s="47"/>
      <c r="L44" s="47"/>
      <c r="M44" s="47"/>
      <c r="N44" s="47"/>
      <c r="O44" s="47"/>
    </row>
    <row r="45" spans="1:16" ht="15" customHeight="1" x14ac:dyDescent="0.3">
      <c r="G45" s="47"/>
    </row>
    <row r="48" spans="1:16" ht="14.5" x14ac:dyDescent="0.35">
      <c r="B48" s="2" t="s">
        <v>117</v>
      </c>
      <c r="C48" s="3" t="s">
        <v>95</v>
      </c>
    </row>
    <row r="49" spans="2:15" ht="15" customHeight="1" x14ac:dyDescent="0.3">
      <c r="B49" s="20" t="s">
        <v>118</v>
      </c>
      <c r="C49" s="9" t="s">
        <v>65</v>
      </c>
      <c r="D49" s="4" t="s">
        <v>96</v>
      </c>
      <c r="E49" s="5" t="s">
        <v>97</v>
      </c>
      <c r="F49" s="4" t="s">
        <v>98</v>
      </c>
      <c r="G49" s="48" t="s">
        <v>99</v>
      </c>
      <c r="H49" s="48"/>
      <c r="I49" s="48"/>
      <c r="J49" s="48"/>
      <c r="K49" s="48" t="s">
        <v>100</v>
      </c>
      <c r="L49" s="48"/>
      <c r="M49" s="48"/>
      <c r="N49" s="48"/>
      <c r="O49" s="48" t="s">
        <v>101</v>
      </c>
    </row>
    <row r="50" spans="2:15" ht="15" customHeight="1" x14ac:dyDescent="0.3">
      <c r="B50" s="20" t="s">
        <v>119</v>
      </c>
      <c r="C50" s="22" t="s">
        <v>120</v>
      </c>
      <c r="D50" s="8" t="str">
        <f>IFERROR(COUNTIF('[1]PCD (SJC)'!$E:$E,B49),"")</f>
        <v/>
      </c>
      <c r="E50" s="21" t="str">
        <f>IFERROR(COUNTIF('[1]PCD (SJC)'!$F:$F,C49),"")</f>
        <v/>
      </c>
      <c r="F50" s="21" t="str">
        <f>IFERROR(COUNTIF('[1]PCD (SJC)'!$G:$G,C49),"")</f>
        <v/>
      </c>
      <c r="G50" s="49"/>
      <c r="H50" s="49"/>
      <c r="I50" s="49"/>
      <c r="J50" s="49"/>
      <c r="K50" s="50"/>
      <c r="L50" s="50"/>
      <c r="M50" s="50"/>
      <c r="N50" s="50"/>
      <c r="O50" s="46"/>
    </row>
    <row r="51" spans="2:15" ht="15" customHeight="1" x14ac:dyDescent="0.3">
      <c r="D51" s="8" t="str">
        <f>IFERROR(COUNTIF('[1]PCD (SJC)'!$E:$E,B50),"")</f>
        <v/>
      </c>
      <c r="E51" s="21" t="str">
        <f>IFERROR(COUNTIF('[1]PCD (SJC)'!$F:$F,C50),"")</f>
        <v/>
      </c>
      <c r="F51" s="21" t="str">
        <f>IFERROR(COUNTIF('[1]PCD (SJC)'!$G:$G,C50),"")</f>
        <v/>
      </c>
      <c r="G51" s="49"/>
      <c r="H51" s="49"/>
      <c r="I51" s="49"/>
      <c r="J51" s="49"/>
      <c r="K51" s="50"/>
      <c r="L51" s="50"/>
      <c r="M51" s="50"/>
      <c r="N51" s="50"/>
      <c r="O51" s="46"/>
    </row>
    <row r="1048543" spans="2:2" x14ac:dyDescent="0.3">
      <c r="B1048543" s="23"/>
    </row>
    <row r="1048544" spans="2:2" ht="15" customHeight="1" x14ac:dyDescent="0.3"/>
  </sheetData>
  <mergeCells count="2">
    <mergeCell ref="A1:A19"/>
    <mergeCell ref="A22:A42"/>
  </mergeCells>
  <conditionalFormatting sqref="D2:F19 D23:F43">
    <cfRule type="cellIs" dxfId="4589" priority="8642" stopIfTrue="1" operator="greaterThan">
      <formula>1</formula>
    </cfRule>
    <cfRule type="containsText" dxfId="4588" priority="8643" stopIfTrue="1" operator="containsText" text="1">
      <formula>NOT(ISERROR(SEARCH("1",D2)))</formula>
    </cfRule>
    <cfRule type="cellIs" dxfId="4587" priority="8644" stopIfTrue="1" operator="equal">
      <formula>0</formula>
    </cfRule>
  </conditionalFormatting>
  <conditionalFormatting sqref="O22">
    <cfRule type="duplicateValues" dxfId="4586" priority="8641"/>
  </conditionalFormatting>
  <conditionalFormatting sqref="O23">
    <cfRule type="duplicateValues" dxfId="4585" priority="8640"/>
  </conditionalFormatting>
  <conditionalFormatting sqref="O25:P30">
    <cfRule type="duplicateValues" dxfId="4584" priority="8621"/>
  </conditionalFormatting>
  <conditionalFormatting sqref="O25:P30">
    <cfRule type="duplicateValues" dxfId="4583" priority="8619" stopIfTrue="1"/>
    <cfRule type="duplicateValues" dxfId="4582" priority="8620"/>
  </conditionalFormatting>
  <conditionalFormatting sqref="O22">
    <cfRule type="duplicateValues" dxfId="4581" priority="8614" stopIfTrue="1"/>
    <cfRule type="duplicateValues" dxfId="4580" priority="8615"/>
  </conditionalFormatting>
  <conditionalFormatting sqref="O25:P30">
    <cfRule type="duplicateValues" dxfId="4579" priority="8605"/>
  </conditionalFormatting>
  <conditionalFormatting sqref="O22:O23 O12 O9 O31:O36 P32 O24:P30">
    <cfRule type="duplicateValues" dxfId="4578" priority="8604"/>
  </conditionalFormatting>
  <conditionalFormatting sqref="O31:O36">
    <cfRule type="duplicateValues" dxfId="4577" priority="8603"/>
  </conditionalFormatting>
  <conditionalFormatting sqref="O31:O36 O22:O24">
    <cfRule type="duplicateValues" dxfId="4576" priority="8602"/>
  </conditionalFormatting>
  <conditionalFormatting sqref="O25:P30">
    <cfRule type="duplicateValues" dxfId="4575" priority="8601"/>
  </conditionalFormatting>
  <conditionalFormatting sqref="O25:P30">
    <cfRule type="duplicateValues" dxfId="4574" priority="8599" stopIfTrue="1"/>
    <cfRule type="duplicateValues" dxfId="4573" priority="8600"/>
  </conditionalFormatting>
  <conditionalFormatting sqref="B22:C22">
    <cfRule type="duplicateValues" dxfId="4572" priority="8598"/>
  </conditionalFormatting>
  <conditionalFormatting sqref="C1">
    <cfRule type="duplicateValues" dxfId="4571" priority="8597"/>
  </conditionalFormatting>
  <conditionalFormatting sqref="O11">
    <cfRule type="duplicateValues" dxfId="4570" priority="8593"/>
  </conditionalFormatting>
  <conditionalFormatting sqref="O11">
    <cfRule type="duplicateValues" dxfId="4569" priority="8591" stopIfTrue="1"/>
    <cfRule type="duplicateValues" dxfId="4568" priority="8592"/>
  </conditionalFormatting>
  <conditionalFormatting sqref="O24 O32">
    <cfRule type="duplicateValues" dxfId="4567" priority="8590"/>
  </conditionalFormatting>
  <conditionalFormatting sqref="O24 O32">
    <cfRule type="duplicateValues" dxfId="4566" priority="8588" stopIfTrue="1"/>
    <cfRule type="duplicateValues" dxfId="4565" priority="8589"/>
  </conditionalFormatting>
  <conditionalFormatting sqref="O34">
    <cfRule type="duplicateValues" dxfId="4564" priority="8587"/>
  </conditionalFormatting>
  <conditionalFormatting sqref="O34">
    <cfRule type="duplicateValues" dxfId="4563" priority="8585" stopIfTrue="1"/>
    <cfRule type="duplicateValues" dxfId="4562" priority="8586"/>
  </conditionalFormatting>
  <conditionalFormatting sqref="P31">
    <cfRule type="duplicateValues" dxfId="4561" priority="8584"/>
  </conditionalFormatting>
  <conditionalFormatting sqref="O34 O31 O32:P32 O24:P30">
    <cfRule type="duplicateValues" dxfId="4560" priority="8583"/>
  </conditionalFormatting>
  <conditionalFormatting sqref="O24 O34 O31:O32 O25:P30">
    <cfRule type="duplicateValues" dxfId="4559" priority="8582"/>
  </conditionalFormatting>
  <conditionalFormatting sqref="O34">
    <cfRule type="duplicateValues" dxfId="4558" priority="8581"/>
  </conditionalFormatting>
  <conditionalFormatting sqref="O34">
    <cfRule type="duplicateValues" dxfId="4557" priority="8579" stopIfTrue="1"/>
    <cfRule type="duplicateValues" dxfId="4556" priority="8580"/>
  </conditionalFormatting>
  <conditionalFormatting sqref="P34">
    <cfRule type="duplicateValues" dxfId="4555" priority="8578"/>
  </conditionalFormatting>
  <conditionalFormatting sqref="P34">
    <cfRule type="duplicateValues" dxfId="4554" priority="8576" stopIfTrue="1"/>
    <cfRule type="duplicateValues" dxfId="4553" priority="8577"/>
  </conditionalFormatting>
  <conditionalFormatting sqref="D50:F51">
    <cfRule type="cellIs" dxfId="4552" priority="8573" stopIfTrue="1" operator="greaterThan">
      <formula>1</formula>
    </cfRule>
    <cfRule type="containsText" dxfId="4551" priority="8574" stopIfTrue="1" operator="containsText" text="1">
      <formula>NOT(ISERROR(SEARCH("1",D50)))</formula>
    </cfRule>
    <cfRule type="cellIs" dxfId="4550" priority="8575" stopIfTrue="1" operator="equal">
      <formula>0</formula>
    </cfRule>
  </conditionalFormatting>
  <conditionalFormatting sqref="O50">
    <cfRule type="duplicateValues" dxfId="4549" priority="8572"/>
  </conditionalFormatting>
  <conditionalFormatting sqref="O50">
    <cfRule type="duplicateValues" dxfId="4548" priority="8570" stopIfTrue="1"/>
    <cfRule type="duplicateValues" dxfId="4547" priority="8571"/>
  </conditionalFormatting>
  <conditionalFormatting sqref="O51">
    <cfRule type="duplicateValues" dxfId="4546" priority="8569"/>
  </conditionalFormatting>
  <conditionalFormatting sqref="O51">
    <cfRule type="duplicateValues" dxfId="4545" priority="8567" stopIfTrue="1"/>
    <cfRule type="duplicateValues" dxfId="4544" priority="8568"/>
  </conditionalFormatting>
  <conditionalFormatting sqref="O50:O51">
    <cfRule type="duplicateValues" dxfId="4543" priority="8566"/>
  </conditionalFormatting>
  <conditionalFormatting sqref="O23">
    <cfRule type="duplicateValues" dxfId="4542" priority="8565"/>
  </conditionalFormatting>
  <conditionalFormatting sqref="O23">
    <cfRule type="duplicateValues" dxfId="4541" priority="8563" stopIfTrue="1"/>
    <cfRule type="duplicateValues" dxfId="4540" priority="8564"/>
  </conditionalFormatting>
  <conditionalFormatting sqref="O24">
    <cfRule type="duplicateValues" dxfId="4539" priority="8562"/>
  </conditionalFormatting>
  <conditionalFormatting sqref="O24">
    <cfRule type="duplicateValues" dxfId="4538" priority="8560" stopIfTrue="1"/>
    <cfRule type="duplicateValues" dxfId="4537" priority="8561"/>
  </conditionalFormatting>
  <conditionalFormatting sqref="B21:F21 O21">
    <cfRule type="duplicateValues" dxfId="4536" priority="8559"/>
  </conditionalFormatting>
  <conditionalFormatting sqref="B30">
    <cfRule type="duplicateValues" dxfId="4535" priority="8549"/>
  </conditionalFormatting>
  <conditionalFormatting sqref="B30">
    <cfRule type="duplicateValues" dxfId="4534" priority="8548"/>
  </conditionalFormatting>
  <conditionalFormatting sqref="B30">
    <cfRule type="duplicateValues" dxfId="4533" priority="8547"/>
  </conditionalFormatting>
  <conditionalFormatting sqref="B30">
    <cfRule type="duplicateValues" dxfId="4532" priority="8546"/>
  </conditionalFormatting>
  <conditionalFormatting sqref="B30">
    <cfRule type="duplicateValues" dxfId="4531" priority="8545"/>
  </conditionalFormatting>
  <conditionalFormatting sqref="B30">
    <cfRule type="duplicateValues" dxfId="4530" priority="8544"/>
  </conditionalFormatting>
  <conditionalFormatting sqref="B30:B31">
    <cfRule type="duplicateValues" dxfId="4529" priority="8543"/>
  </conditionalFormatting>
  <conditionalFormatting sqref="B31:B32">
    <cfRule type="duplicateValues" dxfId="4528" priority="8542"/>
  </conditionalFormatting>
  <conditionalFormatting sqref="B31:B32">
    <cfRule type="duplicateValues" dxfId="4527" priority="8541"/>
  </conditionalFormatting>
  <conditionalFormatting sqref="B30">
    <cfRule type="duplicateValues" dxfId="4526" priority="8540"/>
  </conditionalFormatting>
  <conditionalFormatting sqref="B30">
    <cfRule type="duplicateValues" dxfId="4525" priority="8539"/>
  </conditionalFormatting>
  <conditionalFormatting sqref="B30">
    <cfRule type="duplicateValues" dxfId="4524" priority="8538"/>
  </conditionalFormatting>
  <conditionalFormatting sqref="B30">
    <cfRule type="duplicateValues" dxfId="4523" priority="8537"/>
  </conditionalFormatting>
  <conditionalFormatting sqref="B30">
    <cfRule type="duplicateValues" dxfId="4522" priority="8536"/>
  </conditionalFormatting>
  <conditionalFormatting sqref="B30:B31">
    <cfRule type="duplicateValues" dxfId="4521" priority="8535"/>
  </conditionalFormatting>
  <conditionalFormatting sqref="B30:B31">
    <cfRule type="duplicateValues" dxfId="4520" priority="8534"/>
  </conditionalFormatting>
  <conditionalFormatting sqref="B32:B33">
    <cfRule type="duplicateValues" dxfId="4519" priority="8533"/>
  </conditionalFormatting>
  <conditionalFormatting sqref="B30">
    <cfRule type="duplicateValues" dxfId="4518" priority="8532"/>
  </conditionalFormatting>
  <conditionalFormatting sqref="B30">
    <cfRule type="duplicateValues" dxfId="4517" priority="8531"/>
  </conditionalFormatting>
  <conditionalFormatting sqref="B30">
    <cfRule type="duplicateValues" dxfId="4516" priority="8530"/>
  </conditionalFormatting>
  <conditionalFormatting sqref="B30">
    <cfRule type="duplicateValues" dxfId="4515" priority="8529"/>
  </conditionalFormatting>
  <conditionalFormatting sqref="B30">
    <cfRule type="duplicateValues" dxfId="4514" priority="8528"/>
  </conditionalFormatting>
  <conditionalFormatting sqref="B30:B31">
    <cfRule type="duplicateValues" dxfId="4513" priority="8527"/>
  </conditionalFormatting>
  <conditionalFormatting sqref="B30:B31">
    <cfRule type="duplicateValues" dxfId="4512" priority="8526"/>
  </conditionalFormatting>
  <conditionalFormatting sqref="B32:B33">
    <cfRule type="duplicateValues" dxfId="4511" priority="8525"/>
  </conditionalFormatting>
  <conditionalFormatting sqref="B30">
    <cfRule type="duplicateValues" dxfId="4510" priority="8524"/>
  </conditionalFormatting>
  <conditionalFormatting sqref="B31:B32">
    <cfRule type="duplicateValues" dxfId="4509" priority="8523"/>
  </conditionalFormatting>
  <conditionalFormatting sqref="B32:B33">
    <cfRule type="duplicateValues" dxfId="4508" priority="8522"/>
  </conditionalFormatting>
  <conditionalFormatting sqref="B33:B34">
    <cfRule type="duplicateValues" dxfId="4507" priority="8521"/>
  </conditionalFormatting>
  <conditionalFormatting sqref="B33:B34">
    <cfRule type="duplicateValues" dxfId="4506" priority="8520"/>
  </conditionalFormatting>
  <conditionalFormatting sqref="B33:B34">
    <cfRule type="duplicateValues" dxfId="4505" priority="8519"/>
  </conditionalFormatting>
  <conditionalFormatting sqref="B33:B34">
    <cfRule type="duplicateValues" dxfId="4504" priority="8518"/>
  </conditionalFormatting>
  <conditionalFormatting sqref="B30">
    <cfRule type="duplicateValues" dxfId="4503" priority="8517"/>
  </conditionalFormatting>
  <conditionalFormatting sqref="B30:B31">
    <cfRule type="duplicateValues" dxfId="4502" priority="8516"/>
  </conditionalFormatting>
  <conditionalFormatting sqref="B30:B31">
    <cfRule type="duplicateValues" dxfId="4501" priority="8515"/>
  </conditionalFormatting>
  <conditionalFormatting sqref="B30">
    <cfRule type="duplicateValues" dxfId="4500" priority="8514"/>
  </conditionalFormatting>
  <conditionalFormatting sqref="B30">
    <cfRule type="duplicateValues" dxfId="4499" priority="8513"/>
  </conditionalFormatting>
  <conditionalFormatting sqref="B31:B32">
    <cfRule type="duplicateValues" dxfId="4498" priority="8512"/>
  </conditionalFormatting>
  <conditionalFormatting sqref="B30">
    <cfRule type="duplicateValues" dxfId="4497" priority="8511"/>
  </conditionalFormatting>
  <conditionalFormatting sqref="B30">
    <cfRule type="duplicateValues" dxfId="4496" priority="8510"/>
  </conditionalFormatting>
  <conditionalFormatting sqref="B31:B32">
    <cfRule type="duplicateValues" dxfId="4495" priority="8509"/>
  </conditionalFormatting>
  <conditionalFormatting sqref="B30:B31">
    <cfRule type="duplicateValues" dxfId="4494" priority="8508"/>
  </conditionalFormatting>
  <conditionalFormatting sqref="B31:B32">
    <cfRule type="duplicateValues" dxfId="4493" priority="8507"/>
  </conditionalFormatting>
  <conditionalFormatting sqref="B32:B33">
    <cfRule type="duplicateValues" dxfId="4492" priority="8506"/>
  </conditionalFormatting>
  <conditionalFormatting sqref="B32:B33">
    <cfRule type="duplicateValues" dxfId="4491" priority="8505"/>
  </conditionalFormatting>
  <conditionalFormatting sqref="B32:B33">
    <cfRule type="duplicateValues" dxfId="4490" priority="8504"/>
  </conditionalFormatting>
  <conditionalFormatting sqref="B32:B33">
    <cfRule type="duplicateValues" dxfId="4489" priority="8503"/>
  </conditionalFormatting>
  <conditionalFormatting sqref="B26">
    <cfRule type="duplicateValues" dxfId="4488" priority="8496"/>
  </conditionalFormatting>
  <conditionalFormatting sqref="B26">
    <cfRule type="duplicateValues" dxfId="4487" priority="8495"/>
  </conditionalFormatting>
  <conditionalFormatting sqref="B26">
    <cfRule type="duplicateValues" dxfId="4486" priority="8494"/>
  </conditionalFormatting>
  <conditionalFormatting sqref="B26">
    <cfRule type="duplicateValues" dxfId="4485" priority="8493"/>
  </conditionalFormatting>
  <conditionalFormatting sqref="B26">
    <cfRule type="duplicateValues" dxfId="4484" priority="8492"/>
  </conditionalFormatting>
  <conditionalFormatting sqref="B26">
    <cfRule type="duplicateValues" dxfId="4483" priority="8491"/>
  </conditionalFormatting>
  <conditionalFormatting sqref="B26">
    <cfRule type="duplicateValues" dxfId="4482" priority="8490"/>
  </conditionalFormatting>
  <conditionalFormatting sqref="B24">
    <cfRule type="duplicateValues" dxfId="4481" priority="8489"/>
  </conditionalFormatting>
  <conditionalFormatting sqref="B26">
    <cfRule type="duplicateValues" dxfId="4480" priority="8488"/>
  </conditionalFormatting>
  <conditionalFormatting sqref="B26">
    <cfRule type="duplicateValues" dxfId="4479" priority="8487"/>
  </conditionalFormatting>
  <conditionalFormatting sqref="B26">
    <cfRule type="duplicateValues" dxfId="4478" priority="8486"/>
  </conditionalFormatting>
  <conditionalFormatting sqref="B26">
    <cfRule type="duplicateValues" dxfId="4477" priority="8485"/>
  </conditionalFormatting>
  <conditionalFormatting sqref="B30">
    <cfRule type="duplicateValues" dxfId="4476" priority="8484"/>
  </conditionalFormatting>
  <conditionalFormatting sqref="B26">
    <cfRule type="duplicateValues" dxfId="4475" priority="8483"/>
  </conditionalFormatting>
  <conditionalFormatting sqref="B26">
    <cfRule type="duplicateValues" dxfId="4474" priority="8482"/>
  </conditionalFormatting>
  <conditionalFormatting sqref="B24">
    <cfRule type="duplicateValues" dxfId="4473" priority="8481"/>
  </conditionalFormatting>
  <conditionalFormatting sqref="B26">
    <cfRule type="duplicateValues" dxfId="4472" priority="8480"/>
  </conditionalFormatting>
  <conditionalFormatting sqref="B26">
    <cfRule type="duplicateValues" dxfId="4471" priority="8479"/>
  </conditionalFormatting>
  <conditionalFormatting sqref="B26">
    <cfRule type="duplicateValues" dxfId="4470" priority="8478"/>
  </conditionalFormatting>
  <conditionalFormatting sqref="B26">
    <cfRule type="duplicateValues" dxfId="4469" priority="8477"/>
  </conditionalFormatting>
  <conditionalFormatting sqref="B30">
    <cfRule type="duplicateValues" dxfId="4468" priority="8476"/>
  </conditionalFormatting>
  <conditionalFormatting sqref="B26">
    <cfRule type="duplicateValues" dxfId="4467" priority="8475"/>
  </conditionalFormatting>
  <conditionalFormatting sqref="B26">
    <cfRule type="duplicateValues" dxfId="4466" priority="8474"/>
  </conditionalFormatting>
  <conditionalFormatting sqref="B24">
    <cfRule type="duplicateValues" dxfId="4465" priority="8473"/>
  </conditionalFormatting>
  <conditionalFormatting sqref="B26">
    <cfRule type="duplicateValues" dxfId="4464" priority="8472"/>
  </conditionalFormatting>
  <conditionalFormatting sqref="B24">
    <cfRule type="duplicateValues" dxfId="4463" priority="8471"/>
  </conditionalFormatting>
  <conditionalFormatting sqref="B26">
    <cfRule type="duplicateValues" dxfId="4462" priority="8470"/>
  </conditionalFormatting>
  <conditionalFormatting sqref="B24">
    <cfRule type="duplicateValues" dxfId="4461" priority="8469"/>
  </conditionalFormatting>
  <conditionalFormatting sqref="B26">
    <cfRule type="duplicateValues" dxfId="4460" priority="8468"/>
  </conditionalFormatting>
  <conditionalFormatting sqref="B24">
    <cfRule type="duplicateValues" dxfId="4459" priority="8467"/>
  </conditionalFormatting>
  <conditionalFormatting sqref="B24">
    <cfRule type="duplicateValues" dxfId="4458" priority="8466"/>
  </conditionalFormatting>
  <conditionalFormatting sqref="B30">
    <cfRule type="duplicateValues" dxfId="4457" priority="8465"/>
  </conditionalFormatting>
  <conditionalFormatting sqref="B30:B31">
    <cfRule type="duplicateValues" dxfId="4456" priority="8464"/>
  </conditionalFormatting>
  <conditionalFormatting sqref="B30:B31">
    <cfRule type="duplicateValues" dxfId="4455" priority="8463"/>
  </conditionalFormatting>
  <conditionalFormatting sqref="B30:B31">
    <cfRule type="duplicateValues" dxfId="4454" priority="8462"/>
  </conditionalFormatting>
  <conditionalFormatting sqref="B30:B31">
    <cfRule type="duplicateValues" dxfId="4453" priority="8461"/>
  </conditionalFormatting>
  <conditionalFormatting sqref="B30:B32">
    <cfRule type="duplicateValues" dxfId="4452" priority="8460"/>
  </conditionalFormatting>
  <conditionalFormatting sqref="B30:B32">
    <cfRule type="duplicateValues" dxfId="4451" priority="8459"/>
  </conditionalFormatting>
  <conditionalFormatting sqref="B30:B33">
    <cfRule type="duplicateValues" dxfId="4450" priority="8458"/>
  </conditionalFormatting>
  <conditionalFormatting sqref="B30:B33">
    <cfRule type="duplicateValues" dxfId="4449" priority="8457"/>
  </conditionalFormatting>
  <conditionalFormatting sqref="B30:B33">
    <cfRule type="duplicateValues" dxfId="4448" priority="8456"/>
  </conditionalFormatting>
  <conditionalFormatting sqref="B30:B33">
    <cfRule type="duplicateValues" dxfId="4447" priority="8455"/>
  </conditionalFormatting>
  <conditionalFormatting sqref="B30:B34">
    <cfRule type="duplicateValues" dxfId="4446" priority="8454"/>
  </conditionalFormatting>
  <conditionalFormatting sqref="B30:B34">
    <cfRule type="duplicateValues" dxfId="4445" priority="8453"/>
  </conditionalFormatting>
  <conditionalFormatting sqref="B30:B34">
    <cfRule type="duplicateValues" dxfId="4444" priority="8452"/>
  </conditionalFormatting>
  <conditionalFormatting sqref="B26">
    <cfRule type="duplicateValues" dxfId="4443" priority="8451"/>
  </conditionalFormatting>
  <conditionalFormatting sqref="B26">
    <cfRule type="duplicateValues" dxfId="4442" priority="8450"/>
  </conditionalFormatting>
  <conditionalFormatting sqref="B24">
    <cfRule type="duplicateValues" dxfId="4441" priority="8449"/>
  </conditionalFormatting>
  <conditionalFormatting sqref="B26">
    <cfRule type="duplicateValues" dxfId="4440" priority="8448"/>
  </conditionalFormatting>
  <conditionalFormatting sqref="B26">
    <cfRule type="duplicateValues" dxfId="4439" priority="8447"/>
  </conditionalFormatting>
  <conditionalFormatting sqref="B26">
    <cfRule type="duplicateValues" dxfId="4438" priority="8446"/>
  </conditionalFormatting>
  <conditionalFormatting sqref="B26">
    <cfRule type="duplicateValues" dxfId="4437" priority="8445"/>
  </conditionalFormatting>
  <conditionalFormatting sqref="B26">
    <cfRule type="duplicateValues" dxfId="4436" priority="8444"/>
  </conditionalFormatting>
  <conditionalFormatting sqref="B26">
    <cfRule type="duplicateValues" dxfId="4435" priority="8443"/>
  </conditionalFormatting>
  <conditionalFormatting sqref="B24">
    <cfRule type="duplicateValues" dxfId="4434" priority="8442"/>
  </conditionalFormatting>
  <conditionalFormatting sqref="B26">
    <cfRule type="duplicateValues" dxfId="4433" priority="8441"/>
  </conditionalFormatting>
  <conditionalFormatting sqref="B24">
    <cfRule type="duplicateValues" dxfId="4432" priority="8440"/>
  </conditionalFormatting>
  <conditionalFormatting sqref="B26">
    <cfRule type="duplicateValues" dxfId="4431" priority="8439"/>
  </conditionalFormatting>
  <conditionalFormatting sqref="B24">
    <cfRule type="duplicateValues" dxfId="4430" priority="8438"/>
  </conditionalFormatting>
  <conditionalFormatting sqref="B26">
    <cfRule type="duplicateValues" dxfId="4429" priority="8437"/>
  </conditionalFormatting>
  <conditionalFormatting sqref="B24">
    <cfRule type="duplicateValues" dxfId="4428" priority="8436"/>
  </conditionalFormatting>
  <conditionalFormatting sqref="B24">
    <cfRule type="duplicateValues" dxfId="4427" priority="8435"/>
  </conditionalFormatting>
  <conditionalFormatting sqref="B26">
    <cfRule type="duplicateValues" dxfId="4426" priority="8434"/>
  </conditionalFormatting>
  <conditionalFormatting sqref="B26">
    <cfRule type="duplicateValues" dxfId="4425" priority="8433"/>
  </conditionalFormatting>
  <conditionalFormatting sqref="B24">
    <cfRule type="duplicateValues" dxfId="4424" priority="8432"/>
  </conditionalFormatting>
  <conditionalFormatting sqref="B26">
    <cfRule type="duplicateValues" dxfId="4423" priority="8431"/>
  </conditionalFormatting>
  <conditionalFormatting sqref="B24">
    <cfRule type="duplicateValues" dxfId="4422" priority="8430"/>
  </conditionalFormatting>
  <conditionalFormatting sqref="B26">
    <cfRule type="duplicateValues" dxfId="4421" priority="8429"/>
  </conditionalFormatting>
  <conditionalFormatting sqref="B24">
    <cfRule type="duplicateValues" dxfId="4420" priority="8428"/>
  </conditionalFormatting>
  <conditionalFormatting sqref="B26">
    <cfRule type="duplicateValues" dxfId="4419" priority="8427"/>
  </conditionalFormatting>
  <conditionalFormatting sqref="B24">
    <cfRule type="duplicateValues" dxfId="4418" priority="8426"/>
  </conditionalFormatting>
  <conditionalFormatting sqref="B24">
    <cfRule type="duplicateValues" dxfId="4417" priority="8425"/>
  </conditionalFormatting>
  <conditionalFormatting sqref="B24">
    <cfRule type="duplicateValues" dxfId="4416" priority="8424"/>
  </conditionalFormatting>
  <conditionalFormatting sqref="B24">
    <cfRule type="duplicateValues" dxfId="4415" priority="8423"/>
  </conditionalFormatting>
  <conditionalFormatting sqref="B24">
    <cfRule type="duplicateValues" dxfId="4414" priority="8422"/>
  </conditionalFormatting>
  <conditionalFormatting sqref="B24">
    <cfRule type="duplicateValues" dxfId="4413" priority="8421"/>
  </conditionalFormatting>
  <conditionalFormatting sqref="B24">
    <cfRule type="duplicateValues" dxfId="4412" priority="8420"/>
  </conditionalFormatting>
  <conditionalFormatting sqref="B24">
    <cfRule type="duplicateValues" dxfId="4411" priority="8419"/>
  </conditionalFormatting>
  <conditionalFormatting sqref="B26">
    <cfRule type="duplicateValues" dxfId="4410" priority="8418"/>
  </conditionalFormatting>
  <conditionalFormatting sqref="B30">
    <cfRule type="duplicateValues" dxfId="4409" priority="8417"/>
  </conditionalFormatting>
  <conditionalFormatting sqref="B30">
    <cfRule type="duplicateValues" dxfId="4408" priority="8416"/>
  </conditionalFormatting>
  <conditionalFormatting sqref="B30">
    <cfRule type="duplicateValues" dxfId="4407" priority="8415"/>
  </conditionalFormatting>
  <conditionalFormatting sqref="B30">
    <cfRule type="duplicateValues" dxfId="4406" priority="8414"/>
  </conditionalFormatting>
  <conditionalFormatting sqref="B30:B31">
    <cfRule type="duplicateValues" dxfId="4405" priority="8406"/>
  </conditionalFormatting>
  <conditionalFormatting sqref="B30:B31">
    <cfRule type="duplicateValues" dxfId="4404" priority="8405"/>
  </conditionalFormatting>
  <conditionalFormatting sqref="B31:B32">
    <cfRule type="duplicateValues" dxfId="4403" priority="8404"/>
  </conditionalFormatting>
  <conditionalFormatting sqref="B31:B32">
    <cfRule type="duplicateValues" dxfId="4402" priority="8403"/>
  </conditionalFormatting>
  <conditionalFormatting sqref="B30:B31">
    <cfRule type="duplicateValues" dxfId="4401" priority="8402"/>
  </conditionalFormatting>
  <conditionalFormatting sqref="B31:B32">
    <cfRule type="duplicateValues" dxfId="4400" priority="8401"/>
  </conditionalFormatting>
  <conditionalFormatting sqref="B32:B33">
    <cfRule type="duplicateValues" dxfId="4399" priority="8400"/>
  </conditionalFormatting>
  <conditionalFormatting sqref="B32:B33">
    <cfRule type="duplicateValues" dxfId="4398" priority="8399"/>
  </conditionalFormatting>
  <conditionalFormatting sqref="B32:B33">
    <cfRule type="duplicateValues" dxfId="4397" priority="8398"/>
  </conditionalFormatting>
  <conditionalFormatting sqref="B32:B33">
    <cfRule type="duplicateValues" dxfId="4396" priority="8397"/>
  </conditionalFormatting>
  <conditionalFormatting sqref="B30:B31">
    <cfRule type="duplicateValues" dxfId="4395" priority="8392"/>
  </conditionalFormatting>
  <conditionalFormatting sqref="B30:B31">
    <cfRule type="duplicateValues" dxfId="4394" priority="8391"/>
  </conditionalFormatting>
  <conditionalFormatting sqref="B30:B31">
    <cfRule type="duplicateValues" dxfId="4393" priority="8390"/>
  </conditionalFormatting>
  <conditionalFormatting sqref="B31:B32">
    <cfRule type="duplicateValues" dxfId="4392" priority="8389"/>
  </conditionalFormatting>
  <conditionalFormatting sqref="B31:B32">
    <cfRule type="duplicateValues" dxfId="4391" priority="8388"/>
  </conditionalFormatting>
  <conditionalFormatting sqref="B31:B32">
    <cfRule type="duplicateValues" dxfId="4390" priority="8387"/>
  </conditionalFormatting>
  <conditionalFormatting sqref="B31:B32">
    <cfRule type="duplicateValues" dxfId="4389" priority="8386"/>
  </conditionalFormatting>
  <conditionalFormatting sqref="B33:B34">
    <cfRule type="duplicateValues" dxfId="4388" priority="8380"/>
  </conditionalFormatting>
  <conditionalFormatting sqref="B33:B34">
    <cfRule type="duplicateValues" dxfId="4387" priority="8379"/>
  </conditionalFormatting>
  <conditionalFormatting sqref="B33:B34">
    <cfRule type="duplicateValues" dxfId="4386" priority="8378"/>
  </conditionalFormatting>
  <conditionalFormatting sqref="B33:B34">
    <cfRule type="duplicateValues" dxfId="4385" priority="8377"/>
  </conditionalFormatting>
  <conditionalFormatting sqref="B27">
    <cfRule type="duplicateValues" dxfId="4384" priority="8360"/>
  </conditionalFormatting>
  <conditionalFormatting sqref="B27">
    <cfRule type="duplicateValues" dxfId="4383" priority="8359"/>
  </conditionalFormatting>
  <conditionalFormatting sqref="B27">
    <cfRule type="duplicateValues" dxfId="4382" priority="8358"/>
  </conditionalFormatting>
  <conditionalFormatting sqref="B27">
    <cfRule type="duplicateValues" dxfId="4381" priority="8357"/>
  </conditionalFormatting>
  <conditionalFormatting sqref="B27">
    <cfRule type="duplicateValues" dxfId="4380" priority="8356"/>
  </conditionalFormatting>
  <conditionalFormatting sqref="B27">
    <cfRule type="duplicateValues" dxfId="4379" priority="8355"/>
  </conditionalFormatting>
  <conditionalFormatting sqref="B27">
    <cfRule type="duplicateValues" dxfId="4378" priority="8354"/>
  </conditionalFormatting>
  <conditionalFormatting sqref="B27">
    <cfRule type="duplicateValues" dxfId="4377" priority="8353"/>
  </conditionalFormatting>
  <conditionalFormatting sqref="B27">
    <cfRule type="duplicateValues" dxfId="4376" priority="8352"/>
  </conditionalFormatting>
  <conditionalFormatting sqref="B27">
    <cfRule type="duplicateValues" dxfId="4375" priority="8351"/>
  </conditionalFormatting>
  <conditionalFormatting sqref="B27">
    <cfRule type="duplicateValues" dxfId="4374" priority="8350"/>
  </conditionalFormatting>
  <conditionalFormatting sqref="B27">
    <cfRule type="duplicateValues" dxfId="4373" priority="8349"/>
  </conditionalFormatting>
  <conditionalFormatting sqref="B27">
    <cfRule type="duplicateValues" dxfId="4372" priority="8348"/>
  </conditionalFormatting>
  <conditionalFormatting sqref="B27">
    <cfRule type="duplicateValues" dxfId="4371" priority="8347"/>
  </conditionalFormatting>
  <conditionalFormatting sqref="B27">
    <cfRule type="duplicateValues" dxfId="4370" priority="8346"/>
  </conditionalFormatting>
  <conditionalFormatting sqref="B27">
    <cfRule type="duplicateValues" dxfId="4369" priority="8345"/>
  </conditionalFormatting>
  <conditionalFormatting sqref="B27">
    <cfRule type="duplicateValues" dxfId="4368" priority="8344"/>
  </conditionalFormatting>
  <conditionalFormatting sqref="B27">
    <cfRule type="duplicateValues" dxfId="4367" priority="8343"/>
  </conditionalFormatting>
  <conditionalFormatting sqref="B27">
    <cfRule type="duplicateValues" dxfId="4366" priority="8342"/>
  </conditionalFormatting>
  <conditionalFormatting sqref="B27">
    <cfRule type="duplicateValues" dxfId="4365" priority="8341"/>
  </conditionalFormatting>
  <conditionalFormatting sqref="B27">
    <cfRule type="duplicateValues" dxfId="4364" priority="8340"/>
  </conditionalFormatting>
  <conditionalFormatting sqref="B27">
    <cfRule type="duplicateValues" dxfId="4363" priority="8339"/>
  </conditionalFormatting>
  <conditionalFormatting sqref="B27">
    <cfRule type="duplicateValues" dxfId="4362" priority="8338"/>
  </conditionalFormatting>
  <conditionalFormatting sqref="B27">
    <cfRule type="duplicateValues" dxfId="4361" priority="8337"/>
  </conditionalFormatting>
  <conditionalFormatting sqref="B27">
    <cfRule type="duplicateValues" dxfId="4360" priority="8336"/>
  </conditionalFormatting>
  <conditionalFormatting sqref="B27">
    <cfRule type="duplicateValues" dxfId="4359" priority="8335"/>
  </conditionalFormatting>
  <conditionalFormatting sqref="B27">
    <cfRule type="duplicateValues" dxfId="4358" priority="8334"/>
  </conditionalFormatting>
  <conditionalFormatting sqref="B27">
    <cfRule type="duplicateValues" dxfId="4357" priority="8333"/>
  </conditionalFormatting>
  <conditionalFormatting sqref="B27">
    <cfRule type="duplicateValues" dxfId="4356" priority="8332"/>
  </conditionalFormatting>
  <conditionalFormatting sqref="B27">
    <cfRule type="duplicateValues" dxfId="4355" priority="8331"/>
  </conditionalFormatting>
  <conditionalFormatting sqref="B27">
    <cfRule type="duplicateValues" dxfId="4354" priority="8330"/>
  </conditionalFormatting>
  <conditionalFormatting sqref="B27">
    <cfRule type="duplicateValues" dxfId="4353" priority="8329"/>
  </conditionalFormatting>
  <conditionalFormatting sqref="B27">
    <cfRule type="duplicateValues" dxfId="4352" priority="8328"/>
  </conditionalFormatting>
  <conditionalFormatting sqref="B27">
    <cfRule type="duplicateValues" dxfId="4351" priority="8327"/>
  </conditionalFormatting>
  <conditionalFormatting sqref="B27">
    <cfRule type="duplicateValues" dxfId="4350" priority="8326"/>
  </conditionalFormatting>
  <conditionalFormatting sqref="B27">
    <cfRule type="duplicateValues" dxfId="4349" priority="8325"/>
  </conditionalFormatting>
  <conditionalFormatting sqref="B27">
    <cfRule type="duplicateValues" dxfId="4348" priority="8324"/>
  </conditionalFormatting>
  <conditionalFormatting sqref="B27">
    <cfRule type="duplicateValues" dxfId="4347" priority="8323"/>
  </conditionalFormatting>
  <conditionalFormatting sqref="B27">
    <cfRule type="duplicateValues" dxfId="4346" priority="8322"/>
  </conditionalFormatting>
  <conditionalFormatting sqref="B27">
    <cfRule type="duplicateValues" dxfId="4345" priority="8321"/>
  </conditionalFormatting>
  <conditionalFormatting sqref="B27">
    <cfRule type="duplicateValues" dxfId="4344" priority="8320"/>
  </conditionalFormatting>
  <conditionalFormatting sqref="B27">
    <cfRule type="duplicateValues" dxfId="4343" priority="8319"/>
  </conditionalFormatting>
  <conditionalFormatting sqref="B27">
    <cfRule type="duplicateValues" dxfId="4342" priority="8318"/>
  </conditionalFormatting>
  <conditionalFormatting sqref="B27">
    <cfRule type="duplicateValues" dxfId="4341" priority="8317"/>
  </conditionalFormatting>
  <conditionalFormatting sqref="B27">
    <cfRule type="duplicateValues" dxfId="4340" priority="8316"/>
  </conditionalFormatting>
  <conditionalFormatting sqref="B27">
    <cfRule type="duplicateValues" dxfId="4339" priority="8315"/>
  </conditionalFormatting>
  <conditionalFormatting sqref="B27">
    <cfRule type="duplicateValues" dxfId="4338" priority="8314"/>
  </conditionalFormatting>
  <conditionalFormatting sqref="B2">
    <cfRule type="duplicateValues" dxfId="4337" priority="8313"/>
  </conditionalFormatting>
  <conditionalFormatting sqref="B12:B13">
    <cfRule type="duplicateValues" dxfId="4336" priority="8312"/>
  </conditionalFormatting>
  <conditionalFormatting sqref="B12:B13">
    <cfRule type="duplicateValues" dxfId="4335" priority="8311"/>
  </conditionalFormatting>
  <conditionalFormatting sqref="B12:B13">
    <cfRule type="duplicateValues" dxfId="4334" priority="8310"/>
  </conditionalFormatting>
  <conditionalFormatting sqref="B12:B13">
    <cfRule type="duplicateValues" dxfId="4333" priority="8309"/>
  </conditionalFormatting>
  <conditionalFormatting sqref="B12:B13">
    <cfRule type="duplicateValues" dxfId="4332" priority="8308"/>
  </conditionalFormatting>
  <conditionalFormatting sqref="B12:B13">
    <cfRule type="duplicateValues" dxfId="4331" priority="8307"/>
  </conditionalFormatting>
  <conditionalFormatting sqref="B12:B13">
    <cfRule type="duplicateValues" dxfId="4330" priority="8306"/>
  </conditionalFormatting>
  <conditionalFormatting sqref="B12:B13">
    <cfRule type="duplicateValues" dxfId="4329" priority="8305"/>
  </conditionalFormatting>
  <conditionalFormatting sqref="B12:B13">
    <cfRule type="duplicateValues" dxfId="4328" priority="8304"/>
  </conditionalFormatting>
  <conditionalFormatting sqref="B12:B13">
    <cfRule type="duplicateValues" dxfId="4327" priority="8303"/>
  </conditionalFormatting>
  <conditionalFormatting sqref="B12:B13">
    <cfRule type="duplicateValues" dxfId="4326" priority="8302"/>
  </conditionalFormatting>
  <conditionalFormatting sqref="B12:B13">
    <cfRule type="duplicateValues" dxfId="4325" priority="8301"/>
  </conditionalFormatting>
  <conditionalFormatting sqref="B4">
    <cfRule type="duplicateValues" dxfId="4324" priority="8295"/>
  </conditionalFormatting>
  <conditionalFormatting sqref="B4">
    <cfRule type="duplicateValues" dxfId="4323" priority="8294"/>
  </conditionalFormatting>
  <conditionalFormatting sqref="B4">
    <cfRule type="duplicateValues" dxfId="4322" priority="8293"/>
  </conditionalFormatting>
  <conditionalFormatting sqref="B4">
    <cfRule type="duplicateValues" dxfId="4321" priority="8292"/>
  </conditionalFormatting>
  <conditionalFormatting sqref="B8">
    <cfRule type="duplicateValues" dxfId="4320" priority="8290"/>
  </conditionalFormatting>
  <conditionalFormatting sqref="B3">
    <cfRule type="duplicateValues" dxfId="4319" priority="8289"/>
  </conditionalFormatting>
  <conditionalFormatting sqref="B3">
    <cfRule type="duplicateValues" dxfId="4318" priority="8288"/>
  </conditionalFormatting>
  <conditionalFormatting sqref="B3">
    <cfRule type="duplicateValues" dxfId="4317" priority="8287"/>
  </conditionalFormatting>
  <conditionalFormatting sqref="B3">
    <cfRule type="duplicateValues" dxfId="4316" priority="8286"/>
  </conditionalFormatting>
  <conditionalFormatting sqref="B13">
    <cfRule type="duplicateValues" dxfId="4315" priority="8285"/>
  </conditionalFormatting>
  <conditionalFormatting sqref="B13">
    <cfRule type="duplicateValues" dxfId="4314" priority="8284"/>
  </conditionalFormatting>
  <conditionalFormatting sqref="B50">
    <cfRule type="duplicateValues" dxfId="4313" priority="8270"/>
  </conditionalFormatting>
  <conditionalFormatting sqref="B35">
    <cfRule type="duplicateValues" dxfId="4312" priority="8202"/>
  </conditionalFormatting>
  <conditionalFormatting sqref="B35">
    <cfRule type="duplicateValues" dxfId="4311" priority="8201"/>
  </conditionalFormatting>
  <conditionalFormatting sqref="B35">
    <cfRule type="duplicateValues" dxfId="4310" priority="8200"/>
  </conditionalFormatting>
  <conditionalFormatting sqref="B35">
    <cfRule type="duplicateValues" dxfId="4309" priority="8199"/>
  </conditionalFormatting>
  <conditionalFormatting sqref="B35">
    <cfRule type="duplicateValues" dxfId="4308" priority="8198"/>
  </conditionalFormatting>
  <conditionalFormatting sqref="B35">
    <cfRule type="duplicateValues" dxfId="4307" priority="8197"/>
  </conditionalFormatting>
  <conditionalFormatting sqref="B35">
    <cfRule type="duplicateValues" dxfId="4306" priority="8196"/>
  </conditionalFormatting>
  <conditionalFormatting sqref="B35">
    <cfRule type="duplicateValues" dxfId="4305" priority="8195"/>
  </conditionalFormatting>
  <conditionalFormatting sqref="B35">
    <cfRule type="duplicateValues" dxfId="4304" priority="8194"/>
  </conditionalFormatting>
  <conditionalFormatting sqref="B35">
    <cfRule type="duplicateValues" dxfId="4303" priority="8193"/>
  </conditionalFormatting>
  <conditionalFormatting sqref="B35">
    <cfRule type="duplicateValues" dxfId="4302" priority="8192"/>
  </conditionalFormatting>
  <conditionalFormatting sqref="B35">
    <cfRule type="duplicateValues" dxfId="4301" priority="8191"/>
  </conditionalFormatting>
  <conditionalFormatting sqref="B35">
    <cfRule type="duplicateValues" dxfId="4300" priority="8190"/>
  </conditionalFormatting>
  <conditionalFormatting sqref="B35">
    <cfRule type="duplicateValues" dxfId="4299" priority="8189"/>
  </conditionalFormatting>
  <conditionalFormatting sqref="B35">
    <cfRule type="duplicateValues" dxfId="4298" priority="8188"/>
  </conditionalFormatting>
  <conditionalFormatting sqref="B5">
    <cfRule type="duplicateValues" dxfId="4297" priority="8187"/>
  </conditionalFormatting>
  <conditionalFormatting sqref="B5">
    <cfRule type="duplicateValues" dxfId="4296" priority="8186"/>
  </conditionalFormatting>
  <conditionalFormatting sqref="B5">
    <cfRule type="duplicateValues" dxfId="4295" priority="8185"/>
  </conditionalFormatting>
  <conditionalFormatting sqref="B5">
    <cfRule type="duplicateValues" dxfId="4294" priority="8184"/>
  </conditionalFormatting>
  <conditionalFormatting sqref="B5">
    <cfRule type="duplicateValues" dxfId="4293" priority="8183"/>
  </conditionalFormatting>
  <conditionalFormatting sqref="B5">
    <cfRule type="duplicateValues" dxfId="4292" priority="8182"/>
  </conditionalFormatting>
  <conditionalFormatting sqref="B5">
    <cfRule type="duplicateValues" dxfId="4291" priority="8181"/>
  </conditionalFormatting>
  <conditionalFormatting sqref="B28">
    <cfRule type="duplicateValues" dxfId="4290" priority="8180"/>
  </conditionalFormatting>
  <conditionalFormatting sqref="B28">
    <cfRule type="duplicateValues" dxfId="4289" priority="8179"/>
  </conditionalFormatting>
  <conditionalFormatting sqref="B28">
    <cfRule type="duplicateValues" dxfId="4288" priority="8178"/>
  </conditionalFormatting>
  <conditionalFormatting sqref="B28">
    <cfRule type="duplicateValues" dxfId="4287" priority="8177"/>
  </conditionalFormatting>
  <conditionalFormatting sqref="B28">
    <cfRule type="duplicateValues" dxfId="4286" priority="8176"/>
  </conditionalFormatting>
  <conditionalFormatting sqref="B28">
    <cfRule type="duplicateValues" dxfId="4285" priority="8175"/>
  </conditionalFormatting>
  <conditionalFormatting sqref="B28">
    <cfRule type="duplicateValues" dxfId="4284" priority="8174"/>
  </conditionalFormatting>
  <conditionalFormatting sqref="B28">
    <cfRule type="duplicateValues" dxfId="4283" priority="8173"/>
  </conditionalFormatting>
  <conditionalFormatting sqref="B28">
    <cfRule type="duplicateValues" dxfId="4282" priority="8172"/>
  </conditionalFormatting>
  <conditionalFormatting sqref="B28">
    <cfRule type="duplicateValues" dxfId="4281" priority="8171"/>
  </conditionalFormatting>
  <conditionalFormatting sqref="B28">
    <cfRule type="duplicateValues" dxfId="4280" priority="8170"/>
  </conditionalFormatting>
  <conditionalFormatting sqref="B28">
    <cfRule type="duplicateValues" dxfId="4279" priority="8169"/>
  </conditionalFormatting>
  <conditionalFormatting sqref="B28">
    <cfRule type="duplicateValues" dxfId="4278" priority="8168"/>
  </conditionalFormatting>
  <conditionalFormatting sqref="B28">
    <cfRule type="duplicateValues" dxfId="4277" priority="8167"/>
  </conditionalFormatting>
  <conditionalFormatting sqref="B28">
    <cfRule type="duplicateValues" dxfId="4276" priority="8166"/>
  </conditionalFormatting>
  <conditionalFormatting sqref="B28">
    <cfRule type="duplicateValues" dxfId="4275" priority="8165"/>
  </conditionalFormatting>
  <conditionalFormatting sqref="B28">
    <cfRule type="duplicateValues" dxfId="4274" priority="8164"/>
  </conditionalFormatting>
  <conditionalFormatting sqref="B28">
    <cfRule type="duplicateValues" dxfId="4273" priority="8163"/>
  </conditionalFormatting>
  <conditionalFormatting sqref="B6">
    <cfRule type="duplicateValues" dxfId="4272" priority="8162"/>
  </conditionalFormatting>
  <conditionalFormatting sqref="B6">
    <cfRule type="duplicateValues" dxfId="4271" priority="8161"/>
  </conditionalFormatting>
  <conditionalFormatting sqref="B6">
    <cfRule type="duplicateValues" dxfId="4270" priority="8160"/>
  </conditionalFormatting>
  <conditionalFormatting sqref="B6">
    <cfRule type="duplicateValues" dxfId="4269" priority="8159"/>
  </conditionalFormatting>
  <conditionalFormatting sqref="B6">
    <cfRule type="duplicateValues" dxfId="4268" priority="8158"/>
  </conditionalFormatting>
  <conditionalFormatting sqref="B6">
    <cfRule type="duplicateValues" dxfId="4267" priority="8157"/>
  </conditionalFormatting>
  <conditionalFormatting sqref="B6">
    <cfRule type="duplicateValues" dxfId="4266" priority="8156"/>
  </conditionalFormatting>
  <conditionalFormatting sqref="B7">
    <cfRule type="duplicateValues" dxfId="4265" priority="8155"/>
  </conditionalFormatting>
  <conditionalFormatting sqref="B7">
    <cfRule type="duplicateValues" dxfId="4264" priority="8154"/>
  </conditionalFormatting>
  <conditionalFormatting sqref="B7">
    <cfRule type="duplicateValues" dxfId="4263" priority="8153"/>
  </conditionalFormatting>
  <conditionalFormatting sqref="B7">
    <cfRule type="duplicateValues" dxfId="4262" priority="8152"/>
  </conditionalFormatting>
  <conditionalFormatting sqref="B7">
    <cfRule type="duplicateValues" dxfId="4261" priority="8151"/>
  </conditionalFormatting>
  <conditionalFormatting sqref="B7">
    <cfRule type="duplicateValues" dxfId="4260" priority="8150"/>
  </conditionalFormatting>
  <conditionalFormatting sqref="B10">
    <cfRule type="duplicateValues" dxfId="4259" priority="8149"/>
  </conditionalFormatting>
  <conditionalFormatting sqref="B10">
    <cfRule type="duplicateValues" dxfId="4258" priority="8148"/>
  </conditionalFormatting>
  <conditionalFormatting sqref="B10">
    <cfRule type="duplicateValues" dxfId="4257" priority="8147"/>
  </conditionalFormatting>
  <conditionalFormatting sqref="B10">
    <cfRule type="duplicateValues" dxfId="4256" priority="8146"/>
  </conditionalFormatting>
  <conditionalFormatting sqref="B10">
    <cfRule type="duplicateValues" dxfId="4255" priority="8145"/>
  </conditionalFormatting>
  <conditionalFormatting sqref="B10">
    <cfRule type="duplicateValues" dxfId="4254" priority="8144"/>
  </conditionalFormatting>
  <conditionalFormatting sqref="B10">
    <cfRule type="duplicateValues" dxfId="4253" priority="8143"/>
  </conditionalFormatting>
  <conditionalFormatting sqref="B10">
    <cfRule type="duplicateValues" dxfId="4252" priority="8142"/>
  </conditionalFormatting>
  <conditionalFormatting sqref="B10">
    <cfRule type="duplicateValues" dxfId="4251" priority="8141"/>
  </conditionalFormatting>
  <conditionalFormatting sqref="B10">
    <cfRule type="duplicateValues" dxfId="4250" priority="8140"/>
  </conditionalFormatting>
  <conditionalFormatting sqref="B10">
    <cfRule type="duplicateValues" dxfId="4249" priority="8139"/>
  </conditionalFormatting>
  <conditionalFormatting sqref="B10">
    <cfRule type="duplicateValues" dxfId="4248" priority="8138"/>
  </conditionalFormatting>
  <conditionalFormatting sqref="B10">
    <cfRule type="duplicateValues" dxfId="4247" priority="8137"/>
  </conditionalFormatting>
  <conditionalFormatting sqref="B49">
    <cfRule type="duplicateValues" dxfId="4246" priority="8136"/>
  </conditionalFormatting>
  <conditionalFormatting sqref="C50">
    <cfRule type="duplicateValues" dxfId="4245" priority="8135"/>
  </conditionalFormatting>
  <conditionalFormatting sqref="C50">
    <cfRule type="duplicateValues" dxfId="4244" priority="8134"/>
  </conditionalFormatting>
  <conditionalFormatting sqref="C50">
    <cfRule type="duplicateValues" dxfId="4243" priority="8132" stopIfTrue="1"/>
    <cfRule type="duplicateValues" dxfId="4242" priority="8133"/>
  </conditionalFormatting>
  <conditionalFormatting sqref="C49">
    <cfRule type="duplicateValues" dxfId="4241" priority="8131"/>
  </conditionalFormatting>
  <conditionalFormatting sqref="C49">
    <cfRule type="duplicateValues" dxfId="4240" priority="8130"/>
  </conditionalFormatting>
  <conditionalFormatting sqref="C49">
    <cfRule type="duplicateValues" dxfId="4239" priority="8129"/>
  </conditionalFormatting>
  <conditionalFormatting sqref="C49">
    <cfRule type="duplicateValues" dxfId="4238" priority="8128"/>
  </conditionalFormatting>
  <conditionalFormatting sqref="C49">
    <cfRule type="duplicateValues" dxfId="4237" priority="8127"/>
  </conditionalFormatting>
  <conditionalFormatting sqref="C49">
    <cfRule type="duplicateValues" dxfId="4236" priority="8126"/>
  </conditionalFormatting>
  <conditionalFormatting sqref="C49">
    <cfRule type="duplicateValues" dxfId="4235" priority="8125"/>
  </conditionalFormatting>
  <conditionalFormatting sqref="C49">
    <cfRule type="duplicateValues" dxfId="4234" priority="8124"/>
  </conditionalFormatting>
  <conditionalFormatting sqref="C49">
    <cfRule type="duplicateValues" dxfId="4233" priority="8123"/>
  </conditionalFormatting>
  <conditionalFormatting sqref="C49">
    <cfRule type="duplicateValues" dxfId="4232" priority="8122"/>
  </conditionalFormatting>
  <conditionalFormatting sqref="C49">
    <cfRule type="duplicateValues" dxfId="4231" priority="8121"/>
  </conditionalFormatting>
  <conditionalFormatting sqref="C49">
    <cfRule type="duplicateValues" dxfId="4230" priority="8120"/>
  </conditionalFormatting>
  <conditionalFormatting sqref="C49">
    <cfRule type="duplicateValues" dxfId="4229" priority="8119"/>
  </conditionalFormatting>
  <conditionalFormatting sqref="C49">
    <cfRule type="duplicateValues" dxfId="4228" priority="8118"/>
  </conditionalFormatting>
  <conditionalFormatting sqref="C49">
    <cfRule type="duplicateValues" dxfId="4227" priority="8117"/>
  </conditionalFormatting>
  <conditionalFormatting sqref="C49">
    <cfRule type="duplicateValues" dxfId="4226" priority="8116"/>
  </conditionalFormatting>
  <conditionalFormatting sqref="C49">
    <cfRule type="duplicateValues" dxfId="4225" priority="8115"/>
  </conditionalFormatting>
  <conditionalFormatting sqref="C49">
    <cfRule type="duplicateValues" dxfId="4224" priority="8114"/>
  </conditionalFormatting>
  <conditionalFormatting sqref="C49">
    <cfRule type="duplicateValues" dxfId="4223" priority="8113"/>
  </conditionalFormatting>
  <conditionalFormatting sqref="C49">
    <cfRule type="duplicateValues" dxfId="4222" priority="8112"/>
  </conditionalFormatting>
  <conditionalFormatting sqref="C49">
    <cfRule type="duplicateValues" dxfId="4221" priority="8111"/>
  </conditionalFormatting>
  <conditionalFormatting sqref="C49">
    <cfRule type="duplicateValues" dxfId="4220" priority="8110"/>
  </conditionalFormatting>
  <conditionalFormatting sqref="C49">
    <cfRule type="duplicateValues" dxfId="4219" priority="8109"/>
  </conditionalFormatting>
  <conditionalFormatting sqref="C49">
    <cfRule type="duplicateValues" dxfId="4218" priority="8108"/>
  </conditionalFormatting>
  <conditionalFormatting sqref="B14">
    <cfRule type="duplicateValues" dxfId="4217" priority="8107"/>
  </conditionalFormatting>
  <conditionalFormatting sqref="B14">
    <cfRule type="duplicateValues" dxfId="4216" priority="8106"/>
  </conditionalFormatting>
  <conditionalFormatting sqref="B15">
    <cfRule type="duplicateValues" dxfId="4215" priority="8105"/>
  </conditionalFormatting>
  <conditionalFormatting sqref="B15">
    <cfRule type="duplicateValues" dxfId="4214" priority="8104"/>
  </conditionalFormatting>
  <conditionalFormatting sqref="B15">
    <cfRule type="duplicateValues" dxfId="4213" priority="8103"/>
  </conditionalFormatting>
  <conditionalFormatting sqref="B15">
    <cfRule type="duplicateValues" dxfId="4212" priority="8102"/>
  </conditionalFormatting>
  <conditionalFormatting sqref="B15">
    <cfRule type="duplicateValues" dxfId="4211" priority="8101"/>
  </conditionalFormatting>
  <conditionalFormatting sqref="B18">
    <cfRule type="duplicateValues" dxfId="4210" priority="8095"/>
  </conditionalFormatting>
  <conditionalFormatting sqref="B18">
    <cfRule type="duplicateValues" dxfId="4209" priority="8094"/>
  </conditionalFormatting>
  <conditionalFormatting sqref="B18">
    <cfRule type="duplicateValues" dxfId="4208" priority="8093"/>
  </conditionalFormatting>
  <conditionalFormatting sqref="B18">
    <cfRule type="duplicateValues" dxfId="4207" priority="8092"/>
  </conditionalFormatting>
  <conditionalFormatting sqref="B18">
    <cfRule type="duplicateValues" dxfId="4206" priority="8091"/>
  </conditionalFormatting>
  <conditionalFormatting sqref="B18">
    <cfRule type="duplicateValues" dxfId="4205" priority="8090"/>
  </conditionalFormatting>
  <conditionalFormatting sqref="B17">
    <cfRule type="duplicateValues" dxfId="4204" priority="8089"/>
  </conditionalFormatting>
  <conditionalFormatting sqref="B17">
    <cfRule type="duplicateValues" dxfId="4203" priority="8088"/>
  </conditionalFormatting>
  <conditionalFormatting sqref="B17">
    <cfRule type="duplicateValues" dxfId="4202" priority="8087"/>
  </conditionalFormatting>
  <conditionalFormatting sqref="B17">
    <cfRule type="duplicateValues" dxfId="4201" priority="8086"/>
  </conditionalFormatting>
  <conditionalFormatting sqref="B9">
    <cfRule type="duplicateValues" dxfId="4200" priority="8073"/>
  </conditionalFormatting>
  <conditionalFormatting sqref="B9">
    <cfRule type="duplicateValues" dxfId="4199" priority="8072"/>
  </conditionalFormatting>
  <conditionalFormatting sqref="B9">
    <cfRule type="duplicateValues" dxfId="4198" priority="8071"/>
  </conditionalFormatting>
  <conditionalFormatting sqref="B9">
    <cfRule type="duplicateValues" dxfId="4197" priority="8070"/>
  </conditionalFormatting>
  <conditionalFormatting sqref="C15:C16">
    <cfRule type="duplicateValues" dxfId="4196" priority="8069"/>
  </conditionalFormatting>
  <conditionalFormatting sqref="C15:C16">
    <cfRule type="duplicateValues" dxfId="4195" priority="8067" stopIfTrue="1"/>
    <cfRule type="duplicateValues" dxfId="4194" priority="8068"/>
  </conditionalFormatting>
  <conditionalFormatting sqref="C15:C16">
    <cfRule type="duplicateValues" dxfId="4193" priority="8066"/>
  </conditionalFormatting>
  <conditionalFormatting sqref="C15:C16">
    <cfRule type="duplicateValues" dxfId="4192" priority="8065"/>
  </conditionalFormatting>
  <conditionalFormatting sqref="C15:C16">
    <cfRule type="duplicateValues" dxfId="4191" priority="8064"/>
  </conditionalFormatting>
  <conditionalFormatting sqref="C15:C16">
    <cfRule type="duplicateValues" dxfId="4190" priority="8063"/>
  </conditionalFormatting>
  <conditionalFormatting sqref="C15:C16">
    <cfRule type="duplicateValues" dxfId="4189" priority="8061" stopIfTrue="1"/>
    <cfRule type="duplicateValues" dxfId="4188" priority="8062"/>
  </conditionalFormatting>
  <conditionalFormatting sqref="C15:C16">
    <cfRule type="duplicateValues" dxfId="4187" priority="8060"/>
  </conditionalFormatting>
  <conditionalFormatting sqref="C15:C16">
    <cfRule type="duplicateValues" dxfId="4186" priority="8058" stopIfTrue="1"/>
    <cfRule type="duplicateValues" dxfId="4185" priority="8059"/>
  </conditionalFormatting>
  <conditionalFormatting sqref="C15:C16">
    <cfRule type="duplicateValues" dxfId="4184" priority="8057"/>
  </conditionalFormatting>
  <conditionalFormatting sqref="C15:C16">
    <cfRule type="duplicateValues" dxfId="4183" priority="8055" stopIfTrue="1"/>
    <cfRule type="duplicateValues" dxfId="4182" priority="8056"/>
  </conditionalFormatting>
  <conditionalFormatting sqref="C15:C16">
    <cfRule type="duplicateValues" dxfId="4181" priority="8054"/>
  </conditionalFormatting>
  <conditionalFormatting sqref="C15:C16">
    <cfRule type="duplicateValues" dxfId="4180" priority="8052" stopIfTrue="1"/>
    <cfRule type="duplicateValues" dxfId="4179" priority="8053"/>
  </conditionalFormatting>
  <conditionalFormatting sqref="C15:C16">
    <cfRule type="duplicateValues" dxfId="4178" priority="8051"/>
  </conditionalFormatting>
  <conditionalFormatting sqref="C15:C16">
    <cfRule type="duplicateValues" dxfId="4177" priority="8050"/>
  </conditionalFormatting>
  <conditionalFormatting sqref="C15:C16">
    <cfRule type="duplicateValues" dxfId="4176" priority="8049"/>
  </conditionalFormatting>
  <conditionalFormatting sqref="C15:C16">
    <cfRule type="duplicateValues" dxfId="4175" priority="8048"/>
  </conditionalFormatting>
  <conditionalFormatting sqref="C15:C16">
    <cfRule type="duplicateValues" dxfId="4174" priority="8047"/>
  </conditionalFormatting>
  <conditionalFormatting sqref="C15:C16">
    <cfRule type="duplicateValues" dxfId="4173" priority="8046"/>
  </conditionalFormatting>
  <conditionalFormatting sqref="C15:C16">
    <cfRule type="duplicateValues" dxfId="4172" priority="8045"/>
  </conditionalFormatting>
  <conditionalFormatting sqref="C15:C16">
    <cfRule type="duplicateValues" dxfId="4171" priority="8044"/>
  </conditionalFormatting>
  <conditionalFormatting sqref="C15:C16">
    <cfRule type="duplicateValues" dxfId="4170" priority="8043"/>
  </conditionalFormatting>
  <conditionalFormatting sqref="C15:C16">
    <cfRule type="duplicateValues" dxfId="4169" priority="8042"/>
  </conditionalFormatting>
  <conditionalFormatting sqref="C15:C16">
    <cfRule type="duplicateValues" dxfId="4168" priority="8041"/>
  </conditionalFormatting>
  <conditionalFormatting sqref="C15:C16">
    <cfRule type="duplicateValues" dxfId="4167" priority="8040"/>
  </conditionalFormatting>
  <conditionalFormatting sqref="C15:C16">
    <cfRule type="duplicateValues" dxfId="4166" priority="8039"/>
  </conditionalFormatting>
  <conditionalFormatting sqref="C15:C16">
    <cfRule type="duplicateValues" dxfId="4165" priority="8038"/>
  </conditionalFormatting>
  <conditionalFormatting sqref="C15:C16">
    <cfRule type="duplicateValues" dxfId="4164" priority="8037"/>
  </conditionalFormatting>
  <conditionalFormatting sqref="C15:C16">
    <cfRule type="duplicateValues" dxfId="4163" priority="8036"/>
  </conditionalFormatting>
  <conditionalFormatting sqref="C15:C16">
    <cfRule type="duplicateValues" dxfId="4162" priority="8035"/>
  </conditionalFormatting>
  <conditionalFormatting sqref="C15:C16">
    <cfRule type="duplicateValues" dxfId="4161" priority="8034"/>
  </conditionalFormatting>
  <conditionalFormatting sqref="C15:C16">
    <cfRule type="duplicateValues" dxfId="4160" priority="8033"/>
  </conditionalFormatting>
  <conditionalFormatting sqref="C15:C16">
    <cfRule type="duplicateValues" dxfId="4159" priority="8032"/>
  </conditionalFormatting>
  <conditionalFormatting sqref="C15:C16">
    <cfRule type="duplicateValues" dxfId="4158" priority="8031"/>
  </conditionalFormatting>
  <conditionalFormatting sqref="C15:C16">
    <cfRule type="duplicateValues" dxfId="4157" priority="8030"/>
  </conditionalFormatting>
  <conditionalFormatting sqref="C15:C16">
    <cfRule type="duplicateValues" dxfId="4156" priority="8029"/>
  </conditionalFormatting>
  <conditionalFormatting sqref="C15:C16">
    <cfRule type="duplicateValues" dxfId="4155" priority="8028"/>
  </conditionalFormatting>
  <conditionalFormatting sqref="C13:C14">
    <cfRule type="duplicateValues" dxfId="4154" priority="8027"/>
  </conditionalFormatting>
  <conditionalFormatting sqref="C3">
    <cfRule type="duplicateValues" dxfId="4153" priority="8026"/>
  </conditionalFormatting>
  <conditionalFormatting sqref="C3">
    <cfRule type="duplicateValues" dxfId="4152" priority="8025"/>
  </conditionalFormatting>
  <conditionalFormatting sqref="C3">
    <cfRule type="duplicateValues" dxfId="4151" priority="8024"/>
  </conditionalFormatting>
  <conditionalFormatting sqref="C3">
    <cfRule type="duplicateValues" dxfId="4150" priority="8023"/>
  </conditionalFormatting>
  <conditionalFormatting sqref="C16:C17">
    <cfRule type="duplicateValues" dxfId="4149" priority="8022"/>
  </conditionalFormatting>
  <conditionalFormatting sqref="C12:C13">
    <cfRule type="duplicateValues" dxfId="4148" priority="8021"/>
  </conditionalFormatting>
  <conditionalFormatting sqref="C12:C13">
    <cfRule type="duplicateValues" dxfId="4147" priority="8020"/>
  </conditionalFormatting>
  <conditionalFormatting sqref="C12:C13">
    <cfRule type="duplicateValues" dxfId="4146" priority="8019"/>
  </conditionalFormatting>
  <conditionalFormatting sqref="C12:C13">
    <cfRule type="duplicateValues" dxfId="4145" priority="8018"/>
  </conditionalFormatting>
  <conditionalFormatting sqref="C12:C13">
    <cfRule type="duplicateValues" dxfId="4144" priority="8017"/>
  </conditionalFormatting>
  <conditionalFormatting sqref="C12:C13">
    <cfRule type="duplicateValues" dxfId="4143" priority="8016"/>
  </conditionalFormatting>
  <conditionalFormatting sqref="C12:C13">
    <cfRule type="duplicateValues" dxfId="4142" priority="8015"/>
  </conditionalFormatting>
  <conditionalFormatting sqref="C12:C13">
    <cfRule type="duplicateValues" dxfId="4141" priority="8014"/>
  </conditionalFormatting>
  <conditionalFormatting sqref="C12:C13">
    <cfRule type="duplicateValues" dxfId="4140" priority="8013"/>
  </conditionalFormatting>
  <conditionalFormatting sqref="C12:C13">
    <cfRule type="duplicateValues" dxfId="4139" priority="8012"/>
  </conditionalFormatting>
  <conditionalFormatting sqref="C12:C13">
    <cfRule type="duplicateValues" dxfId="4138" priority="8011"/>
  </conditionalFormatting>
  <conditionalFormatting sqref="C12:C13">
    <cfRule type="duplicateValues" dxfId="4137" priority="8010"/>
  </conditionalFormatting>
  <conditionalFormatting sqref="C12:C13">
    <cfRule type="duplicateValues" dxfId="4136" priority="8009"/>
  </conditionalFormatting>
  <conditionalFormatting sqref="C12:C13">
    <cfRule type="duplicateValues" dxfId="4135" priority="8008"/>
  </conditionalFormatting>
  <conditionalFormatting sqref="C12:C13">
    <cfRule type="duplicateValues" dxfId="4134" priority="8007"/>
  </conditionalFormatting>
  <conditionalFormatting sqref="C12:C13">
    <cfRule type="duplicateValues" dxfId="4133" priority="8006"/>
  </conditionalFormatting>
  <conditionalFormatting sqref="C12:C13">
    <cfRule type="duplicateValues" dxfId="4132" priority="8005"/>
  </conditionalFormatting>
  <conditionalFormatting sqref="C12:C13">
    <cfRule type="duplicateValues" dxfId="4131" priority="8004"/>
  </conditionalFormatting>
  <conditionalFormatting sqref="C12:C13">
    <cfRule type="duplicateValues" dxfId="4130" priority="8002" stopIfTrue="1"/>
    <cfRule type="duplicateValues" dxfId="4129" priority="8003"/>
  </conditionalFormatting>
  <conditionalFormatting sqref="C12:C13">
    <cfRule type="duplicateValues" dxfId="4128" priority="8001"/>
  </conditionalFormatting>
  <conditionalFormatting sqref="C12:C13">
    <cfRule type="duplicateValues" dxfId="4127" priority="7999" stopIfTrue="1"/>
    <cfRule type="duplicateValues" dxfId="4126" priority="8000"/>
  </conditionalFormatting>
  <conditionalFormatting sqref="C12:C13">
    <cfRule type="duplicateValues" dxfId="4125" priority="7998"/>
  </conditionalFormatting>
  <conditionalFormatting sqref="C12:C13">
    <cfRule type="duplicateValues" dxfId="4124" priority="7996" stopIfTrue="1"/>
    <cfRule type="duplicateValues" dxfId="4123" priority="7997"/>
  </conditionalFormatting>
  <conditionalFormatting sqref="C12:C13">
    <cfRule type="duplicateValues" dxfId="4122" priority="7995"/>
  </conditionalFormatting>
  <conditionalFormatting sqref="C12:C13">
    <cfRule type="duplicateValues" dxfId="4121" priority="7993" stopIfTrue="1"/>
    <cfRule type="duplicateValues" dxfId="4120" priority="7994"/>
  </conditionalFormatting>
  <conditionalFormatting sqref="C12:C13">
    <cfRule type="duplicateValues" dxfId="4119" priority="7992"/>
  </conditionalFormatting>
  <conditionalFormatting sqref="C12:C13">
    <cfRule type="duplicateValues" dxfId="4118" priority="7990" stopIfTrue="1"/>
    <cfRule type="duplicateValues" dxfId="4117" priority="7991"/>
  </conditionalFormatting>
  <conditionalFormatting sqref="C12:C13">
    <cfRule type="duplicateValues" dxfId="4116" priority="7989"/>
  </conditionalFormatting>
  <conditionalFormatting sqref="C12:C13">
    <cfRule type="duplicateValues" dxfId="4115" priority="7987" stopIfTrue="1"/>
    <cfRule type="duplicateValues" dxfId="4114" priority="7988"/>
  </conditionalFormatting>
  <conditionalFormatting sqref="C12:C13">
    <cfRule type="duplicateValues" dxfId="4113" priority="7986"/>
  </conditionalFormatting>
  <conditionalFormatting sqref="C12:C13">
    <cfRule type="duplicateValues" dxfId="4112" priority="7984" stopIfTrue="1"/>
    <cfRule type="duplicateValues" dxfId="4111" priority="7985"/>
  </conditionalFormatting>
  <conditionalFormatting sqref="C12:C13">
    <cfRule type="duplicateValues" dxfId="4110" priority="7983"/>
  </conditionalFormatting>
  <conditionalFormatting sqref="C12:C13">
    <cfRule type="duplicateValues" dxfId="4109" priority="7982"/>
  </conditionalFormatting>
  <conditionalFormatting sqref="C12:C13">
    <cfRule type="duplicateValues" dxfId="4108" priority="7981"/>
  </conditionalFormatting>
  <conditionalFormatting sqref="C12:C13">
    <cfRule type="duplicateValues" dxfId="4107" priority="7980"/>
  </conditionalFormatting>
  <conditionalFormatting sqref="C12:C13">
    <cfRule type="duplicateValues" dxfId="4106" priority="7978" stopIfTrue="1"/>
    <cfRule type="duplicateValues" dxfId="4105" priority="7979"/>
  </conditionalFormatting>
  <conditionalFormatting sqref="C12:C13">
    <cfRule type="duplicateValues" dxfId="4104" priority="7977"/>
  </conditionalFormatting>
  <conditionalFormatting sqref="C12:C13">
    <cfRule type="duplicateValues" dxfId="4103" priority="7976"/>
  </conditionalFormatting>
  <conditionalFormatting sqref="C12:C13">
    <cfRule type="duplicateValues" dxfId="4102" priority="7974" stopIfTrue="1"/>
    <cfRule type="duplicateValues" dxfId="4101" priority="7975"/>
  </conditionalFormatting>
  <conditionalFormatting sqref="C12:C13">
    <cfRule type="duplicateValues" dxfId="4100" priority="7973"/>
  </conditionalFormatting>
  <conditionalFormatting sqref="C12:C13">
    <cfRule type="duplicateValues" dxfId="4099" priority="7971" stopIfTrue="1"/>
    <cfRule type="duplicateValues" dxfId="4098" priority="7972"/>
  </conditionalFormatting>
  <conditionalFormatting sqref="C12:C13">
    <cfRule type="duplicateValues" dxfId="4097" priority="7970"/>
  </conditionalFormatting>
  <conditionalFormatting sqref="C12:C13">
    <cfRule type="duplicateValues" dxfId="4096" priority="7968" stopIfTrue="1"/>
    <cfRule type="duplicateValues" dxfId="4095" priority="7969"/>
  </conditionalFormatting>
  <conditionalFormatting sqref="C12:C13">
    <cfRule type="duplicateValues" dxfId="4094" priority="7967"/>
  </conditionalFormatting>
  <conditionalFormatting sqref="C12:C13">
    <cfRule type="duplicateValues" dxfId="4093" priority="7965" stopIfTrue="1"/>
    <cfRule type="duplicateValues" dxfId="4092" priority="7966"/>
  </conditionalFormatting>
  <conditionalFormatting sqref="C12:C13">
    <cfRule type="duplicateValues" dxfId="4091" priority="7964"/>
  </conditionalFormatting>
  <conditionalFormatting sqref="C12:C13">
    <cfRule type="duplicateValues" dxfId="4090" priority="7962" stopIfTrue="1"/>
    <cfRule type="duplicateValues" dxfId="4089" priority="7963"/>
  </conditionalFormatting>
  <conditionalFormatting sqref="C12:C13">
    <cfRule type="duplicateValues" dxfId="4088" priority="7961"/>
  </conditionalFormatting>
  <conditionalFormatting sqref="C12:C13">
    <cfRule type="duplicateValues" dxfId="4087" priority="7960"/>
  </conditionalFormatting>
  <conditionalFormatting sqref="C12:C13">
    <cfRule type="duplicateValues" dxfId="4086" priority="7959"/>
  </conditionalFormatting>
  <conditionalFormatting sqref="C12:C13">
    <cfRule type="duplicateValues" dxfId="4085" priority="7958"/>
  </conditionalFormatting>
  <conditionalFormatting sqref="C12:C13">
    <cfRule type="duplicateValues" dxfId="4084" priority="7957"/>
  </conditionalFormatting>
  <conditionalFormatting sqref="C12:C13">
    <cfRule type="duplicateValues" dxfId="4083" priority="7956"/>
  </conditionalFormatting>
  <conditionalFormatting sqref="C12:C13">
    <cfRule type="duplicateValues" dxfId="4082" priority="7955"/>
  </conditionalFormatting>
  <conditionalFormatting sqref="C12:C13">
    <cfRule type="duplicateValues" dxfId="4081" priority="7954"/>
  </conditionalFormatting>
  <conditionalFormatting sqref="C12:C13">
    <cfRule type="duplicateValues" dxfId="4080" priority="7953"/>
  </conditionalFormatting>
  <conditionalFormatting sqref="C12:C13">
    <cfRule type="duplicateValues" dxfId="4079" priority="7952"/>
  </conditionalFormatting>
  <conditionalFormatting sqref="C12:C13">
    <cfRule type="duplicateValues" dxfId="4078" priority="7951"/>
  </conditionalFormatting>
  <conditionalFormatting sqref="C12:C13">
    <cfRule type="duplicateValues" dxfId="4077" priority="7950"/>
  </conditionalFormatting>
  <conditionalFormatting sqref="C12:C13">
    <cfRule type="duplicateValues" dxfId="4076" priority="7948" stopIfTrue="1"/>
    <cfRule type="duplicateValues" dxfId="4075" priority="7949"/>
  </conditionalFormatting>
  <conditionalFormatting sqref="C12:C13">
    <cfRule type="duplicateValues" dxfId="4074" priority="7947"/>
  </conditionalFormatting>
  <conditionalFormatting sqref="C12:C13">
    <cfRule type="duplicateValues" dxfId="4073" priority="7945" stopIfTrue="1"/>
    <cfRule type="duplicateValues" dxfId="4072" priority="7946"/>
  </conditionalFormatting>
  <conditionalFormatting sqref="C12:C13">
    <cfRule type="duplicateValues" dxfId="4071" priority="7944"/>
  </conditionalFormatting>
  <conditionalFormatting sqref="C12:C13">
    <cfRule type="duplicateValues" dxfId="4070" priority="7942" stopIfTrue="1"/>
    <cfRule type="duplicateValues" dxfId="4069" priority="7943"/>
  </conditionalFormatting>
  <conditionalFormatting sqref="C12:C13">
    <cfRule type="duplicateValues" dxfId="4068" priority="7941"/>
  </conditionalFormatting>
  <conditionalFormatting sqref="C12:C13">
    <cfRule type="duplicateValues" dxfId="4067" priority="7939" stopIfTrue="1"/>
    <cfRule type="duplicateValues" dxfId="4066" priority="7940"/>
  </conditionalFormatting>
  <conditionalFormatting sqref="C12:C13">
    <cfRule type="duplicateValues" dxfId="4065" priority="7938"/>
  </conditionalFormatting>
  <conditionalFormatting sqref="C12:C13">
    <cfRule type="duplicateValues" dxfId="4064" priority="7936" stopIfTrue="1"/>
    <cfRule type="duplicateValues" dxfId="4063" priority="7937"/>
  </conditionalFormatting>
  <conditionalFormatting sqref="C12:C13">
    <cfRule type="duplicateValues" dxfId="4062" priority="7935"/>
  </conditionalFormatting>
  <conditionalFormatting sqref="C12:C13">
    <cfRule type="duplicateValues" dxfId="4061" priority="7934"/>
  </conditionalFormatting>
  <conditionalFormatting sqref="C12:C13">
    <cfRule type="duplicateValues" dxfId="4060" priority="7933"/>
  </conditionalFormatting>
  <conditionalFormatting sqref="C12:C13">
    <cfRule type="duplicateValues" dxfId="4059" priority="7932"/>
  </conditionalFormatting>
  <conditionalFormatting sqref="C12:C13">
    <cfRule type="duplicateValues" dxfId="4058" priority="7931"/>
  </conditionalFormatting>
  <conditionalFormatting sqref="C12:C13">
    <cfRule type="duplicateValues" dxfId="4057" priority="7930"/>
  </conditionalFormatting>
  <conditionalFormatting sqref="C12:C13">
    <cfRule type="duplicateValues" dxfId="4056" priority="7928" stopIfTrue="1"/>
    <cfRule type="duplicateValues" dxfId="4055" priority="7929"/>
  </conditionalFormatting>
  <conditionalFormatting sqref="C12:C13">
    <cfRule type="duplicateValues" dxfId="4054" priority="7927"/>
  </conditionalFormatting>
  <conditionalFormatting sqref="C12:C13">
    <cfRule type="duplicateValues" dxfId="4053" priority="7925" stopIfTrue="1"/>
    <cfRule type="duplicateValues" dxfId="4052" priority="7926"/>
  </conditionalFormatting>
  <conditionalFormatting sqref="C12:C13">
    <cfRule type="duplicateValues" dxfId="4051" priority="7924"/>
  </conditionalFormatting>
  <conditionalFormatting sqref="C12:C13">
    <cfRule type="duplicateValues" dxfId="4050" priority="7922" stopIfTrue="1"/>
    <cfRule type="duplicateValues" dxfId="4049" priority="7923"/>
  </conditionalFormatting>
  <conditionalFormatting sqref="C12:C13">
    <cfRule type="duplicateValues" dxfId="4048" priority="7921"/>
  </conditionalFormatting>
  <conditionalFormatting sqref="C12:C13">
    <cfRule type="duplicateValues" dxfId="4047" priority="7919" stopIfTrue="1"/>
    <cfRule type="duplicateValues" dxfId="4046" priority="7920"/>
  </conditionalFormatting>
  <conditionalFormatting sqref="C12:C13">
    <cfRule type="duplicateValues" dxfId="4045" priority="7918"/>
  </conditionalFormatting>
  <conditionalFormatting sqref="C12:C13">
    <cfRule type="duplicateValues" dxfId="4044" priority="7916" stopIfTrue="1"/>
    <cfRule type="duplicateValues" dxfId="4043" priority="7917"/>
  </conditionalFormatting>
  <conditionalFormatting sqref="C12:C13">
    <cfRule type="duplicateValues" dxfId="4042" priority="7915"/>
  </conditionalFormatting>
  <conditionalFormatting sqref="C12:C13">
    <cfRule type="duplicateValues" dxfId="4041" priority="7914"/>
  </conditionalFormatting>
  <conditionalFormatting sqref="C12:C13">
    <cfRule type="duplicateValues" dxfId="4040" priority="7913"/>
  </conditionalFormatting>
  <conditionalFormatting sqref="C12:C13">
    <cfRule type="duplicateValues" dxfId="4039" priority="7912"/>
  </conditionalFormatting>
  <conditionalFormatting sqref="C12:C13">
    <cfRule type="duplicateValues" dxfId="4038" priority="7911"/>
  </conditionalFormatting>
  <conditionalFormatting sqref="C12:C13">
    <cfRule type="duplicateValues" dxfId="4037" priority="7910"/>
  </conditionalFormatting>
  <conditionalFormatting sqref="C12:C13">
    <cfRule type="duplicateValues" dxfId="4036" priority="7908" stopIfTrue="1"/>
    <cfRule type="duplicateValues" dxfId="4035" priority="7909"/>
  </conditionalFormatting>
  <conditionalFormatting sqref="C12:C13">
    <cfRule type="duplicateValues" dxfId="4034" priority="7907"/>
  </conditionalFormatting>
  <conditionalFormatting sqref="C12:C13">
    <cfRule type="duplicateValues" dxfId="4033" priority="7905" stopIfTrue="1"/>
    <cfRule type="duplicateValues" dxfId="4032" priority="7906"/>
  </conditionalFormatting>
  <conditionalFormatting sqref="C12:C13">
    <cfRule type="duplicateValues" dxfId="4031" priority="7904"/>
  </conditionalFormatting>
  <conditionalFormatting sqref="C12:C13">
    <cfRule type="duplicateValues" dxfId="4030" priority="7902" stopIfTrue="1"/>
    <cfRule type="duplicateValues" dxfId="4029" priority="7903"/>
  </conditionalFormatting>
  <conditionalFormatting sqref="C12:C13">
    <cfRule type="duplicateValues" dxfId="4028" priority="7901"/>
  </conditionalFormatting>
  <conditionalFormatting sqref="C12:C13">
    <cfRule type="duplicateValues" dxfId="4027" priority="7899" stopIfTrue="1"/>
    <cfRule type="duplicateValues" dxfId="4026" priority="7900"/>
  </conditionalFormatting>
  <conditionalFormatting sqref="C12:C13">
    <cfRule type="duplicateValues" dxfId="4025" priority="7898"/>
  </conditionalFormatting>
  <conditionalFormatting sqref="C12:C13">
    <cfRule type="duplicateValues" dxfId="4024" priority="7896" stopIfTrue="1"/>
    <cfRule type="duplicateValues" dxfId="4023" priority="7897"/>
  </conditionalFormatting>
  <conditionalFormatting sqref="C12:C13">
    <cfRule type="duplicateValues" dxfId="4022" priority="7895"/>
  </conditionalFormatting>
  <conditionalFormatting sqref="C12:C13">
    <cfRule type="duplicateValues" dxfId="4021" priority="7894"/>
  </conditionalFormatting>
  <conditionalFormatting sqref="C12:C13">
    <cfRule type="duplicateValues" dxfId="4020" priority="7893"/>
  </conditionalFormatting>
  <conditionalFormatting sqref="C12:C13">
    <cfRule type="duplicateValues" dxfId="4019" priority="7892"/>
  </conditionalFormatting>
  <conditionalFormatting sqref="C12:C13">
    <cfRule type="duplicateValues" dxfId="4018" priority="7891"/>
  </conditionalFormatting>
  <conditionalFormatting sqref="C12:C13">
    <cfRule type="duplicateValues" dxfId="4017" priority="7890"/>
  </conditionalFormatting>
  <conditionalFormatting sqref="C12:C13">
    <cfRule type="duplicateValues" dxfId="4016" priority="7888" stopIfTrue="1"/>
    <cfRule type="duplicateValues" dxfId="4015" priority="7889"/>
  </conditionalFormatting>
  <conditionalFormatting sqref="C12:C13">
    <cfRule type="duplicateValues" dxfId="4014" priority="7887"/>
  </conditionalFormatting>
  <conditionalFormatting sqref="C12:C13">
    <cfRule type="duplicateValues" dxfId="4013" priority="7885" stopIfTrue="1"/>
    <cfRule type="duplicateValues" dxfId="4012" priority="7886"/>
  </conditionalFormatting>
  <conditionalFormatting sqref="C12:C13">
    <cfRule type="duplicateValues" dxfId="4011" priority="7884"/>
  </conditionalFormatting>
  <conditionalFormatting sqref="C12:C13">
    <cfRule type="duplicateValues" dxfId="4010" priority="7882" stopIfTrue="1"/>
    <cfRule type="duplicateValues" dxfId="4009" priority="7883"/>
  </conditionalFormatting>
  <conditionalFormatting sqref="C12:C13">
    <cfRule type="duplicateValues" dxfId="4008" priority="7881"/>
  </conditionalFormatting>
  <conditionalFormatting sqref="C12:C13">
    <cfRule type="duplicateValues" dxfId="4007" priority="7879" stopIfTrue="1"/>
    <cfRule type="duplicateValues" dxfId="4006" priority="7880"/>
  </conditionalFormatting>
  <conditionalFormatting sqref="C12:C13">
    <cfRule type="duplicateValues" dxfId="4005" priority="7878"/>
  </conditionalFormatting>
  <conditionalFormatting sqref="C12:C13">
    <cfRule type="duplicateValues" dxfId="4004" priority="7876" stopIfTrue="1"/>
    <cfRule type="duplicateValues" dxfId="4003" priority="7877"/>
  </conditionalFormatting>
  <conditionalFormatting sqref="C12:C13">
    <cfRule type="duplicateValues" dxfId="4002" priority="7875"/>
  </conditionalFormatting>
  <conditionalFormatting sqref="C12:C13">
    <cfRule type="duplicateValues" dxfId="4001" priority="7874"/>
  </conditionalFormatting>
  <conditionalFormatting sqref="C12:C13">
    <cfRule type="duplicateValues" dxfId="4000" priority="7873"/>
  </conditionalFormatting>
  <conditionalFormatting sqref="C12:C13">
    <cfRule type="duplicateValues" dxfId="3999" priority="7872"/>
  </conditionalFormatting>
  <conditionalFormatting sqref="C12:C13">
    <cfRule type="duplicateValues" dxfId="3998" priority="7871"/>
  </conditionalFormatting>
  <conditionalFormatting sqref="C12:C13">
    <cfRule type="duplicateValues" dxfId="3997" priority="7870"/>
  </conditionalFormatting>
  <conditionalFormatting sqref="C12:C13">
    <cfRule type="duplicateValues" dxfId="3996" priority="7869"/>
  </conditionalFormatting>
  <conditionalFormatting sqref="C12:C13">
    <cfRule type="duplicateValues" dxfId="3995" priority="7868"/>
  </conditionalFormatting>
  <conditionalFormatting sqref="C12:C13">
    <cfRule type="duplicateValues" dxfId="3994" priority="7867"/>
  </conditionalFormatting>
  <conditionalFormatting sqref="C12:C13">
    <cfRule type="duplicateValues" dxfId="3993" priority="7866"/>
  </conditionalFormatting>
  <conditionalFormatting sqref="C12:C13">
    <cfRule type="duplicateValues" dxfId="3992" priority="7865"/>
  </conditionalFormatting>
  <conditionalFormatting sqref="C12:C13">
    <cfRule type="duplicateValues" dxfId="3991" priority="7864"/>
  </conditionalFormatting>
  <conditionalFormatting sqref="C12:C13">
    <cfRule type="duplicateValues" dxfId="3990" priority="7863"/>
  </conditionalFormatting>
  <conditionalFormatting sqref="C12:C13">
    <cfRule type="duplicateValues" dxfId="3989" priority="7862"/>
  </conditionalFormatting>
  <conditionalFormatting sqref="C12:C13">
    <cfRule type="duplicateValues" dxfId="3988" priority="7861"/>
  </conditionalFormatting>
  <conditionalFormatting sqref="C12:C13">
    <cfRule type="duplicateValues" dxfId="3987" priority="7860"/>
  </conditionalFormatting>
  <conditionalFormatting sqref="C12:C13">
    <cfRule type="duplicateValues" dxfId="3986" priority="7859"/>
  </conditionalFormatting>
  <conditionalFormatting sqref="C12:C13">
    <cfRule type="duplicateValues" dxfId="3985" priority="7858"/>
  </conditionalFormatting>
  <conditionalFormatting sqref="C12:C13">
    <cfRule type="duplicateValues" dxfId="3984" priority="7857"/>
  </conditionalFormatting>
  <conditionalFormatting sqref="C12:C13">
    <cfRule type="duplicateValues" dxfId="3983" priority="7856"/>
  </conditionalFormatting>
  <conditionalFormatting sqref="C12:C13">
    <cfRule type="duplicateValues" dxfId="3982" priority="7855"/>
  </conditionalFormatting>
  <conditionalFormatting sqref="C12:C13">
    <cfRule type="duplicateValues" dxfId="3981" priority="7854"/>
  </conditionalFormatting>
  <conditionalFormatting sqref="C12:C13">
    <cfRule type="duplicateValues" dxfId="3980" priority="7853"/>
  </conditionalFormatting>
  <conditionalFormatting sqref="C12:C13">
    <cfRule type="duplicateValues" dxfId="3979" priority="7852"/>
  </conditionalFormatting>
  <conditionalFormatting sqref="C12:C13">
    <cfRule type="duplicateValues" dxfId="3978" priority="7851"/>
  </conditionalFormatting>
  <conditionalFormatting sqref="C12:C13">
    <cfRule type="duplicateValues" dxfId="3977" priority="7850"/>
  </conditionalFormatting>
  <conditionalFormatting sqref="C12:C13">
    <cfRule type="duplicateValues" dxfId="3976" priority="7849"/>
  </conditionalFormatting>
  <conditionalFormatting sqref="C12:C13">
    <cfRule type="duplicateValues" dxfId="3975" priority="7848"/>
  </conditionalFormatting>
  <conditionalFormatting sqref="C12:C13">
    <cfRule type="duplicateValues" dxfId="3974" priority="7847"/>
  </conditionalFormatting>
  <conditionalFormatting sqref="C12:C13">
    <cfRule type="duplicateValues" dxfId="3973" priority="7846"/>
  </conditionalFormatting>
  <conditionalFormatting sqref="C12:C13">
    <cfRule type="duplicateValues" dxfId="3972" priority="7845"/>
  </conditionalFormatting>
  <conditionalFormatting sqref="C12:C13">
    <cfRule type="duplicateValues" dxfId="3971" priority="7844"/>
  </conditionalFormatting>
  <conditionalFormatting sqref="C12:C13">
    <cfRule type="duplicateValues" dxfId="3970" priority="7843"/>
  </conditionalFormatting>
  <conditionalFormatting sqref="C12:C13">
    <cfRule type="duplicateValues" dxfId="3969" priority="7842"/>
  </conditionalFormatting>
  <conditionalFormatting sqref="C12:C13">
    <cfRule type="duplicateValues" dxfId="3968" priority="7841"/>
  </conditionalFormatting>
  <conditionalFormatting sqref="C12:C13">
    <cfRule type="duplicateValues" dxfId="3967" priority="7840"/>
  </conditionalFormatting>
  <conditionalFormatting sqref="C12:C13">
    <cfRule type="duplicateValues" dxfId="3966" priority="7839"/>
  </conditionalFormatting>
  <conditionalFormatting sqref="C12:C13">
    <cfRule type="duplicateValues" dxfId="3965" priority="7838"/>
  </conditionalFormatting>
  <conditionalFormatting sqref="C12:C13">
    <cfRule type="duplicateValues" dxfId="3964" priority="7837"/>
  </conditionalFormatting>
  <conditionalFormatting sqref="C12:C13">
    <cfRule type="duplicateValues" dxfId="3963" priority="7836"/>
  </conditionalFormatting>
  <conditionalFormatting sqref="C12:C13">
    <cfRule type="duplicateValues" dxfId="3962" priority="7834" stopIfTrue="1"/>
    <cfRule type="duplicateValues" dxfId="3961" priority="7835"/>
  </conditionalFormatting>
  <conditionalFormatting sqref="C12:C13">
    <cfRule type="duplicateValues" dxfId="3960" priority="7833"/>
  </conditionalFormatting>
  <conditionalFormatting sqref="C12:C13">
    <cfRule type="duplicateValues" dxfId="3959" priority="7832"/>
  </conditionalFormatting>
  <conditionalFormatting sqref="C12:C13">
    <cfRule type="duplicateValues" dxfId="3958" priority="7831"/>
  </conditionalFormatting>
  <conditionalFormatting sqref="C12:C13">
    <cfRule type="duplicateValues" dxfId="3957" priority="7830"/>
  </conditionalFormatting>
  <conditionalFormatting sqref="C12:C13">
    <cfRule type="duplicateValues" dxfId="3956" priority="7829"/>
  </conditionalFormatting>
  <conditionalFormatting sqref="C12:C13">
    <cfRule type="duplicateValues" dxfId="3955" priority="7828"/>
  </conditionalFormatting>
  <conditionalFormatting sqref="C12:C13">
    <cfRule type="duplicateValues" dxfId="3954" priority="7827"/>
  </conditionalFormatting>
  <conditionalFormatting sqref="C12:C13">
    <cfRule type="duplicateValues" dxfId="3953" priority="7826"/>
  </conditionalFormatting>
  <conditionalFormatting sqref="C12:C13">
    <cfRule type="duplicateValues" dxfId="3952" priority="7825"/>
  </conditionalFormatting>
  <conditionalFormatting sqref="C12:C13">
    <cfRule type="duplicateValues" dxfId="3951" priority="7824"/>
  </conditionalFormatting>
  <conditionalFormatting sqref="C12:C13">
    <cfRule type="duplicateValues" dxfId="3950" priority="7823"/>
  </conditionalFormatting>
  <conditionalFormatting sqref="C12:C13">
    <cfRule type="duplicateValues" dxfId="3949" priority="7821" stopIfTrue="1"/>
    <cfRule type="duplicateValues" dxfId="3948" priority="7822"/>
  </conditionalFormatting>
  <conditionalFormatting sqref="C12:C13">
    <cfRule type="duplicateValues" dxfId="3947" priority="7820"/>
  </conditionalFormatting>
  <conditionalFormatting sqref="C12:C13">
    <cfRule type="duplicateValues" dxfId="3946" priority="7818" stopIfTrue="1"/>
    <cfRule type="duplicateValues" dxfId="3945" priority="7819"/>
  </conditionalFormatting>
  <conditionalFormatting sqref="C12:C13">
    <cfRule type="duplicateValues" dxfId="3944" priority="7817"/>
  </conditionalFormatting>
  <conditionalFormatting sqref="C12:C13">
    <cfRule type="duplicateValues" dxfId="3943" priority="7815" stopIfTrue="1"/>
    <cfRule type="duplicateValues" dxfId="3942" priority="7816"/>
  </conditionalFormatting>
  <conditionalFormatting sqref="C12:C13">
    <cfRule type="duplicateValues" dxfId="3941" priority="7814"/>
  </conditionalFormatting>
  <conditionalFormatting sqref="C12:C13">
    <cfRule type="duplicateValues" dxfId="3940" priority="7812" stopIfTrue="1"/>
    <cfRule type="duplicateValues" dxfId="3939" priority="7813"/>
  </conditionalFormatting>
  <conditionalFormatting sqref="C12:C13">
    <cfRule type="duplicateValues" dxfId="3938" priority="7811"/>
  </conditionalFormatting>
  <conditionalFormatting sqref="C12:C13">
    <cfRule type="duplicateValues" dxfId="3937" priority="7809" stopIfTrue="1"/>
    <cfRule type="duplicateValues" dxfId="3936" priority="7810"/>
  </conditionalFormatting>
  <conditionalFormatting sqref="C12:C13">
    <cfRule type="duplicateValues" dxfId="3935" priority="7808"/>
  </conditionalFormatting>
  <conditionalFormatting sqref="C12:C13">
    <cfRule type="duplicateValues" dxfId="3934" priority="7807"/>
  </conditionalFormatting>
  <conditionalFormatting sqref="C12:C13">
    <cfRule type="duplicateValues" dxfId="3933" priority="7806"/>
  </conditionalFormatting>
  <conditionalFormatting sqref="C12:C13">
    <cfRule type="duplicateValues" dxfId="3932" priority="7805"/>
  </conditionalFormatting>
  <conditionalFormatting sqref="C12:C13">
    <cfRule type="duplicateValues" dxfId="3931" priority="7804"/>
  </conditionalFormatting>
  <conditionalFormatting sqref="C12:C13">
    <cfRule type="duplicateValues" dxfId="3930" priority="7803"/>
  </conditionalFormatting>
  <conditionalFormatting sqref="C12:C13">
    <cfRule type="duplicateValues" dxfId="3929" priority="7801" stopIfTrue="1"/>
    <cfRule type="duplicateValues" dxfId="3928" priority="7802"/>
  </conditionalFormatting>
  <conditionalFormatting sqref="C12:C13">
    <cfRule type="duplicateValues" dxfId="3927" priority="7800"/>
  </conditionalFormatting>
  <conditionalFormatting sqref="C12:C13">
    <cfRule type="duplicateValues" dxfId="3926" priority="7798" stopIfTrue="1"/>
    <cfRule type="duplicateValues" dxfId="3925" priority="7799"/>
  </conditionalFormatting>
  <conditionalFormatting sqref="C12:C13">
    <cfRule type="duplicateValues" dxfId="3924" priority="7797"/>
  </conditionalFormatting>
  <conditionalFormatting sqref="C12:C13">
    <cfRule type="duplicateValues" dxfId="3923" priority="7795" stopIfTrue="1"/>
    <cfRule type="duplicateValues" dxfId="3922" priority="7796"/>
  </conditionalFormatting>
  <conditionalFormatting sqref="C12:C13">
    <cfRule type="duplicateValues" dxfId="3921" priority="7794"/>
  </conditionalFormatting>
  <conditionalFormatting sqref="C12:C13">
    <cfRule type="duplicateValues" dxfId="3920" priority="7792" stopIfTrue="1"/>
    <cfRule type="duplicateValues" dxfId="3919" priority="7793"/>
  </conditionalFormatting>
  <conditionalFormatting sqref="C12:C13">
    <cfRule type="duplicateValues" dxfId="3918" priority="7791"/>
  </conditionalFormatting>
  <conditionalFormatting sqref="C12:C13">
    <cfRule type="duplicateValues" dxfId="3917" priority="7789" stopIfTrue="1"/>
    <cfRule type="duplicateValues" dxfId="3916" priority="7790"/>
  </conditionalFormatting>
  <conditionalFormatting sqref="C12:C13">
    <cfRule type="duplicateValues" dxfId="3915" priority="7788"/>
  </conditionalFormatting>
  <conditionalFormatting sqref="C12:C13">
    <cfRule type="duplicateValues" dxfId="3914" priority="7787"/>
  </conditionalFormatting>
  <conditionalFormatting sqref="C12:C13">
    <cfRule type="duplicateValues" dxfId="3913" priority="7786"/>
  </conditionalFormatting>
  <conditionalFormatting sqref="C12:C13">
    <cfRule type="duplicateValues" dxfId="3912" priority="7785"/>
  </conditionalFormatting>
  <conditionalFormatting sqref="C12:C13">
    <cfRule type="duplicateValues" dxfId="3911" priority="7784"/>
  </conditionalFormatting>
  <conditionalFormatting sqref="C12:C13">
    <cfRule type="duplicateValues" dxfId="3910" priority="7783"/>
  </conditionalFormatting>
  <conditionalFormatting sqref="C12:C13">
    <cfRule type="duplicateValues" dxfId="3909" priority="7781" stopIfTrue="1"/>
    <cfRule type="duplicateValues" dxfId="3908" priority="7782"/>
  </conditionalFormatting>
  <conditionalFormatting sqref="C12:C13">
    <cfRule type="duplicateValues" dxfId="3907" priority="7780"/>
  </conditionalFormatting>
  <conditionalFormatting sqref="C12:C13">
    <cfRule type="duplicateValues" dxfId="3906" priority="7778" stopIfTrue="1"/>
    <cfRule type="duplicateValues" dxfId="3905" priority="7779"/>
  </conditionalFormatting>
  <conditionalFormatting sqref="C12:C13">
    <cfRule type="duplicateValues" dxfId="3904" priority="7777"/>
  </conditionalFormatting>
  <conditionalFormatting sqref="C12:C13">
    <cfRule type="duplicateValues" dxfId="3903" priority="7775" stopIfTrue="1"/>
    <cfRule type="duplicateValues" dxfId="3902" priority="7776"/>
  </conditionalFormatting>
  <conditionalFormatting sqref="C12:C13">
    <cfRule type="duplicateValues" dxfId="3901" priority="7774"/>
  </conditionalFormatting>
  <conditionalFormatting sqref="C12:C13">
    <cfRule type="duplicateValues" dxfId="3900" priority="7772" stopIfTrue="1"/>
    <cfRule type="duplicateValues" dxfId="3899" priority="7773"/>
  </conditionalFormatting>
  <conditionalFormatting sqref="C12:C13">
    <cfRule type="duplicateValues" dxfId="3898" priority="7771"/>
  </conditionalFormatting>
  <conditionalFormatting sqref="C12:C13">
    <cfRule type="duplicateValues" dxfId="3897" priority="7769" stopIfTrue="1"/>
    <cfRule type="duplicateValues" dxfId="3896" priority="7770"/>
  </conditionalFormatting>
  <conditionalFormatting sqref="C12:C13">
    <cfRule type="duplicateValues" dxfId="3895" priority="7768"/>
  </conditionalFormatting>
  <conditionalFormatting sqref="C12:C13">
    <cfRule type="duplicateValues" dxfId="3894" priority="7767"/>
  </conditionalFormatting>
  <conditionalFormatting sqref="C12:C13">
    <cfRule type="duplicateValues" dxfId="3893" priority="7766"/>
  </conditionalFormatting>
  <conditionalFormatting sqref="C12:C13">
    <cfRule type="duplicateValues" dxfId="3892" priority="7765"/>
  </conditionalFormatting>
  <conditionalFormatting sqref="C12:C13">
    <cfRule type="duplicateValues" dxfId="3891" priority="7764"/>
  </conditionalFormatting>
  <conditionalFormatting sqref="C12:C13">
    <cfRule type="duplicateValues" dxfId="3890" priority="7763"/>
  </conditionalFormatting>
  <conditionalFormatting sqref="C12:C13">
    <cfRule type="duplicateValues" dxfId="3889" priority="7761" stopIfTrue="1"/>
    <cfRule type="duplicateValues" dxfId="3888" priority="7762"/>
  </conditionalFormatting>
  <conditionalFormatting sqref="C12:C13">
    <cfRule type="duplicateValues" dxfId="3887" priority="7760"/>
  </conditionalFormatting>
  <conditionalFormatting sqref="C12:C13">
    <cfRule type="duplicateValues" dxfId="3886" priority="7758" stopIfTrue="1"/>
    <cfRule type="duplicateValues" dxfId="3885" priority="7759"/>
  </conditionalFormatting>
  <conditionalFormatting sqref="C12:C13">
    <cfRule type="duplicateValues" dxfId="3884" priority="7757"/>
  </conditionalFormatting>
  <conditionalFormatting sqref="C12:C13">
    <cfRule type="duplicateValues" dxfId="3883" priority="7755" stopIfTrue="1"/>
    <cfRule type="duplicateValues" dxfId="3882" priority="7756"/>
  </conditionalFormatting>
  <conditionalFormatting sqref="C12:C13">
    <cfRule type="duplicateValues" dxfId="3881" priority="7754"/>
  </conditionalFormatting>
  <conditionalFormatting sqref="C12:C13">
    <cfRule type="duplicateValues" dxfId="3880" priority="7752" stopIfTrue="1"/>
    <cfRule type="duplicateValues" dxfId="3879" priority="7753"/>
  </conditionalFormatting>
  <conditionalFormatting sqref="C12:C13">
    <cfRule type="duplicateValues" dxfId="3878" priority="7751"/>
  </conditionalFormatting>
  <conditionalFormatting sqref="C12:C13">
    <cfRule type="duplicateValues" dxfId="3877" priority="7749" stopIfTrue="1"/>
    <cfRule type="duplicateValues" dxfId="3876" priority="7750"/>
  </conditionalFormatting>
  <conditionalFormatting sqref="C12:C13">
    <cfRule type="duplicateValues" dxfId="3875" priority="7748"/>
  </conditionalFormatting>
  <conditionalFormatting sqref="C12:C13">
    <cfRule type="duplicateValues" dxfId="3874" priority="7747"/>
  </conditionalFormatting>
  <conditionalFormatting sqref="C12:C13">
    <cfRule type="duplicateValues" dxfId="3873" priority="7746"/>
  </conditionalFormatting>
  <conditionalFormatting sqref="C12:C13">
    <cfRule type="duplicateValues" dxfId="3872" priority="7745"/>
  </conditionalFormatting>
  <conditionalFormatting sqref="C12:C13">
    <cfRule type="duplicateValues" dxfId="3871" priority="7744"/>
  </conditionalFormatting>
  <conditionalFormatting sqref="C12:C13">
    <cfRule type="duplicateValues" dxfId="3870" priority="7743"/>
  </conditionalFormatting>
  <conditionalFormatting sqref="C12:C13">
    <cfRule type="duplicateValues" dxfId="3869" priority="7742"/>
  </conditionalFormatting>
  <conditionalFormatting sqref="C12:C13">
    <cfRule type="duplicateValues" dxfId="3868" priority="7741"/>
  </conditionalFormatting>
  <conditionalFormatting sqref="C12:C13">
    <cfRule type="duplicateValues" dxfId="3867" priority="7740"/>
  </conditionalFormatting>
  <conditionalFormatting sqref="C12:C13">
    <cfRule type="duplicateValues" dxfId="3866" priority="7739"/>
  </conditionalFormatting>
  <conditionalFormatting sqref="C12:C13">
    <cfRule type="duplicateValues" dxfId="3865" priority="7738"/>
  </conditionalFormatting>
  <conditionalFormatting sqref="C12:C13">
    <cfRule type="duplicateValues" dxfId="3864" priority="7737"/>
  </conditionalFormatting>
  <conditionalFormatting sqref="C12:C13">
    <cfRule type="duplicateValues" dxfId="3863" priority="7736"/>
  </conditionalFormatting>
  <conditionalFormatting sqref="C12:C13">
    <cfRule type="duplicateValues" dxfId="3862" priority="7735"/>
  </conditionalFormatting>
  <conditionalFormatting sqref="C12:C13">
    <cfRule type="duplicateValues" dxfId="3861" priority="7734"/>
  </conditionalFormatting>
  <conditionalFormatting sqref="C12:C13">
    <cfRule type="duplicateValues" dxfId="3860" priority="7733"/>
  </conditionalFormatting>
  <conditionalFormatting sqref="C12:C13">
    <cfRule type="duplicateValues" dxfId="3859" priority="7732"/>
  </conditionalFormatting>
  <conditionalFormatting sqref="C12:C13">
    <cfRule type="duplicateValues" dxfId="3858" priority="7731"/>
  </conditionalFormatting>
  <conditionalFormatting sqref="C12:C13">
    <cfRule type="duplicateValues" dxfId="3857" priority="7730"/>
  </conditionalFormatting>
  <conditionalFormatting sqref="C12:C13">
    <cfRule type="duplicateValues" dxfId="3856" priority="7729"/>
  </conditionalFormatting>
  <conditionalFormatting sqref="C12:C13">
    <cfRule type="duplicateValues" dxfId="3855" priority="7728"/>
  </conditionalFormatting>
  <conditionalFormatting sqref="C12:C13">
    <cfRule type="duplicateValues" dxfId="3854" priority="7727"/>
  </conditionalFormatting>
  <conditionalFormatting sqref="C12:C13">
    <cfRule type="duplicateValues" dxfId="3853" priority="7726"/>
  </conditionalFormatting>
  <conditionalFormatting sqref="C12:C13">
    <cfRule type="duplicateValues" dxfId="3852" priority="7725"/>
  </conditionalFormatting>
  <conditionalFormatting sqref="C12:C13">
    <cfRule type="duplicateValues" dxfId="3851" priority="7724"/>
  </conditionalFormatting>
  <conditionalFormatting sqref="C12:C13">
    <cfRule type="duplicateValues" dxfId="3850" priority="7723"/>
  </conditionalFormatting>
  <conditionalFormatting sqref="C12:C13">
    <cfRule type="duplicateValues" dxfId="3849" priority="7722"/>
  </conditionalFormatting>
  <conditionalFormatting sqref="C12:C13">
    <cfRule type="duplicateValues" dxfId="3848" priority="7721"/>
  </conditionalFormatting>
  <conditionalFormatting sqref="C12:C13">
    <cfRule type="duplicateValues" dxfId="3847" priority="7720"/>
  </conditionalFormatting>
  <conditionalFormatting sqref="C12:C13">
    <cfRule type="duplicateValues" dxfId="3846" priority="7719"/>
  </conditionalFormatting>
  <conditionalFormatting sqref="C12:C13">
    <cfRule type="duplicateValues" dxfId="3845" priority="7718"/>
  </conditionalFormatting>
  <conditionalFormatting sqref="C12:C13">
    <cfRule type="duplicateValues" dxfId="3844" priority="7717"/>
  </conditionalFormatting>
  <conditionalFormatting sqref="C12:C13">
    <cfRule type="duplicateValues" dxfId="3843" priority="7716"/>
  </conditionalFormatting>
  <conditionalFormatting sqref="C12:C13">
    <cfRule type="duplicateValues" dxfId="3842" priority="7715"/>
  </conditionalFormatting>
  <conditionalFormatting sqref="C12:C13">
    <cfRule type="duplicateValues" dxfId="3841" priority="7714"/>
  </conditionalFormatting>
  <conditionalFormatting sqref="C12:C13">
    <cfRule type="duplicateValues" dxfId="3840" priority="7713"/>
  </conditionalFormatting>
  <conditionalFormatting sqref="C12:C13">
    <cfRule type="duplicateValues" dxfId="3839" priority="7712"/>
  </conditionalFormatting>
  <conditionalFormatting sqref="C12:C13">
    <cfRule type="duplicateValues" dxfId="3838" priority="7711"/>
  </conditionalFormatting>
  <conditionalFormatting sqref="C12:C13">
    <cfRule type="duplicateValues" dxfId="3837" priority="7710"/>
  </conditionalFormatting>
  <conditionalFormatting sqref="C12:C13">
    <cfRule type="duplicateValues" dxfId="3836" priority="7709"/>
  </conditionalFormatting>
  <conditionalFormatting sqref="C12:C13">
    <cfRule type="duplicateValues" dxfId="3835" priority="7707" stopIfTrue="1"/>
    <cfRule type="duplicateValues" dxfId="3834" priority="7708"/>
  </conditionalFormatting>
  <conditionalFormatting sqref="C12:C13">
    <cfRule type="duplicateValues" dxfId="3833" priority="7706"/>
  </conditionalFormatting>
  <conditionalFormatting sqref="C12:C13">
    <cfRule type="duplicateValues" dxfId="3832" priority="7705"/>
  </conditionalFormatting>
  <conditionalFormatting sqref="C12:C13">
    <cfRule type="duplicateValues" dxfId="3831" priority="7704"/>
  </conditionalFormatting>
  <conditionalFormatting sqref="C12:C13">
    <cfRule type="duplicateValues" dxfId="3830" priority="7703"/>
  </conditionalFormatting>
  <conditionalFormatting sqref="C12:C13">
    <cfRule type="duplicateValues" dxfId="3829" priority="7702"/>
  </conditionalFormatting>
  <conditionalFormatting sqref="C12:C13">
    <cfRule type="duplicateValues" dxfId="3828" priority="7701"/>
  </conditionalFormatting>
  <conditionalFormatting sqref="C12:C13">
    <cfRule type="duplicateValues" dxfId="3827" priority="7700"/>
  </conditionalFormatting>
  <conditionalFormatting sqref="C12:C13">
    <cfRule type="duplicateValues" dxfId="3826" priority="7699"/>
  </conditionalFormatting>
  <conditionalFormatting sqref="C12:C13">
    <cfRule type="duplicateValues" dxfId="3825" priority="7698"/>
  </conditionalFormatting>
  <conditionalFormatting sqref="C12:C13">
    <cfRule type="duplicateValues" dxfId="3824" priority="7697"/>
  </conditionalFormatting>
  <conditionalFormatting sqref="C12:C13">
    <cfRule type="duplicateValues" dxfId="3823" priority="7696"/>
  </conditionalFormatting>
  <conditionalFormatting sqref="C12:C13">
    <cfRule type="duplicateValues" dxfId="3822" priority="7694" stopIfTrue="1"/>
    <cfRule type="duplicateValues" dxfId="3821" priority="7695"/>
  </conditionalFormatting>
  <conditionalFormatting sqref="C12:C13">
    <cfRule type="duplicateValues" dxfId="3820" priority="7693"/>
  </conditionalFormatting>
  <conditionalFormatting sqref="C12:C13">
    <cfRule type="duplicateValues" dxfId="3819" priority="7691" stopIfTrue="1"/>
    <cfRule type="duplicateValues" dxfId="3818" priority="7692"/>
  </conditionalFormatting>
  <conditionalFormatting sqref="C12:C13">
    <cfRule type="duplicateValues" dxfId="3817" priority="7690"/>
  </conditionalFormatting>
  <conditionalFormatting sqref="C12:C13">
    <cfRule type="duplicateValues" dxfId="3816" priority="7688" stopIfTrue="1"/>
    <cfRule type="duplicateValues" dxfId="3815" priority="7689"/>
  </conditionalFormatting>
  <conditionalFormatting sqref="C12:C13">
    <cfRule type="duplicateValues" dxfId="3814" priority="7687"/>
  </conditionalFormatting>
  <conditionalFormatting sqref="C12:C13">
    <cfRule type="duplicateValues" dxfId="3813" priority="7685" stopIfTrue="1"/>
    <cfRule type="duplicateValues" dxfId="3812" priority="7686"/>
  </conditionalFormatting>
  <conditionalFormatting sqref="C12:C13">
    <cfRule type="duplicateValues" dxfId="3811" priority="7684"/>
  </conditionalFormatting>
  <conditionalFormatting sqref="C12:C13">
    <cfRule type="duplicateValues" dxfId="3810" priority="7682" stopIfTrue="1"/>
    <cfRule type="duplicateValues" dxfId="3809" priority="7683"/>
  </conditionalFormatting>
  <conditionalFormatting sqref="C12:C13">
    <cfRule type="duplicateValues" dxfId="3808" priority="7681"/>
  </conditionalFormatting>
  <conditionalFormatting sqref="C12:C13">
    <cfRule type="duplicateValues" dxfId="3807" priority="7680"/>
  </conditionalFormatting>
  <conditionalFormatting sqref="C12:C13">
    <cfRule type="duplicateValues" dxfId="3806" priority="7679"/>
  </conditionalFormatting>
  <conditionalFormatting sqref="C12:C13">
    <cfRule type="duplicateValues" dxfId="3805" priority="7678"/>
  </conditionalFormatting>
  <conditionalFormatting sqref="C12:C13">
    <cfRule type="duplicateValues" dxfId="3804" priority="7677"/>
  </conditionalFormatting>
  <conditionalFormatting sqref="C12:C13">
    <cfRule type="duplicateValues" dxfId="3803" priority="7676"/>
  </conditionalFormatting>
  <conditionalFormatting sqref="C12:C13">
    <cfRule type="duplicateValues" dxfId="3802" priority="7674" stopIfTrue="1"/>
    <cfRule type="duplicateValues" dxfId="3801" priority="7675"/>
  </conditionalFormatting>
  <conditionalFormatting sqref="C12:C13">
    <cfRule type="duplicateValues" dxfId="3800" priority="7673"/>
  </conditionalFormatting>
  <conditionalFormatting sqref="C12:C13">
    <cfRule type="duplicateValues" dxfId="3799" priority="7671" stopIfTrue="1"/>
    <cfRule type="duplicateValues" dxfId="3798" priority="7672"/>
  </conditionalFormatting>
  <conditionalFormatting sqref="C12:C13">
    <cfRule type="duplicateValues" dxfId="3797" priority="7670"/>
  </conditionalFormatting>
  <conditionalFormatting sqref="C12:C13">
    <cfRule type="duplicateValues" dxfId="3796" priority="7668" stopIfTrue="1"/>
    <cfRule type="duplicateValues" dxfId="3795" priority="7669"/>
  </conditionalFormatting>
  <conditionalFormatting sqref="C12:C13">
    <cfRule type="duplicateValues" dxfId="3794" priority="7667"/>
  </conditionalFormatting>
  <conditionalFormatting sqref="C12:C13">
    <cfRule type="duplicateValues" dxfId="3793" priority="7665" stopIfTrue="1"/>
    <cfRule type="duplicateValues" dxfId="3792" priority="7666"/>
  </conditionalFormatting>
  <conditionalFormatting sqref="C12:C13">
    <cfRule type="duplicateValues" dxfId="3791" priority="7664"/>
  </conditionalFormatting>
  <conditionalFormatting sqref="C12:C13">
    <cfRule type="duplicateValues" dxfId="3790" priority="7662" stopIfTrue="1"/>
    <cfRule type="duplicateValues" dxfId="3789" priority="7663"/>
  </conditionalFormatting>
  <conditionalFormatting sqref="C12:C13">
    <cfRule type="duplicateValues" dxfId="3788" priority="7661"/>
  </conditionalFormatting>
  <conditionalFormatting sqref="C12:C13">
    <cfRule type="duplicateValues" dxfId="3787" priority="7660"/>
  </conditionalFormatting>
  <conditionalFormatting sqref="C12:C13">
    <cfRule type="duplicateValues" dxfId="3786" priority="7659"/>
  </conditionalFormatting>
  <conditionalFormatting sqref="C12:C13">
    <cfRule type="duplicateValues" dxfId="3785" priority="7658"/>
  </conditionalFormatting>
  <conditionalFormatting sqref="C12:C13">
    <cfRule type="duplicateValues" dxfId="3784" priority="7657"/>
  </conditionalFormatting>
  <conditionalFormatting sqref="C12:C13">
    <cfRule type="duplicateValues" dxfId="3783" priority="7656"/>
  </conditionalFormatting>
  <conditionalFormatting sqref="C12:C13">
    <cfRule type="duplicateValues" dxfId="3782" priority="7654" stopIfTrue="1"/>
    <cfRule type="duplicateValues" dxfId="3781" priority="7655"/>
  </conditionalFormatting>
  <conditionalFormatting sqref="C12:C13">
    <cfRule type="duplicateValues" dxfId="3780" priority="7653"/>
  </conditionalFormatting>
  <conditionalFormatting sqref="C12:C13">
    <cfRule type="duplicateValues" dxfId="3779" priority="7651" stopIfTrue="1"/>
    <cfRule type="duplicateValues" dxfId="3778" priority="7652"/>
  </conditionalFormatting>
  <conditionalFormatting sqref="C12:C13">
    <cfRule type="duplicateValues" dxfId="3777" priority="7650"/>
  </conditionalFormatting>
  <conditionalFormatting sqref="C12:C13">
    <cfRule type="duplicateValues" dxfId="3776" priority="7648" stopIfTrue="1"/>
    <cfRule type="duplicateValues" dxfId="3775" priority="7649"/>
  </conditionalFormatting>
  <conditionalFormatting sqref="C12:C13">
    <cfRule type="duplicateValues" dxfId="3774" priority="7647"/>
  </conditionalFormatting>
  <conditionalFormatting sqref="C12:C13">
    <cfRule type="duplicateValues" dxfId="3773" priority="7645" stopIfTrue="1"/>
    <cfRule type="duplicateValues" dxfId="3772" priority="7646"/>
  </conditionalFormatting>
  <conditionalFormatting sqref="C12:C13">
    <cfRule type="duplicateValues" dxfId="3771" priority="7644"/>
  </conditionalFormatting>
  <conditionalFormatting sqref="C12:C13">
    <cfRule type="duplicateValues" dxfId="3770" priority="7642" stopIfTrue="1"/>
    <cfRule type="duplicateValues" dxfId="3769" priority="7643"/>
  </conditionalFormatting>
  <conditionalFormatting sqref="C12:C13">
    <cfRule type="duplicateValues" dxfId="3768" priority="7641"/>
  </conditionalFormatting>
  <conditionalFormatting sqref="C12:C13">
    <cfRule type="duplicateValues" dxfId="3767" priority="7640"/>
  </conditionalFormatting>
  <conditionalFormatting sqref="C12:C13">
    <cfRule type="duplicateValues" dxfId="3766" priority="7639"/>
  </conditionalFormatting>
  <conditionalFormatting sqref="C12:C13">
    <cfRule type="duplicateValues" dxfId="3765" priority="7638"/>
  </conditionalFormatting>
  <conditionalFormatting sqref="C12:C13">
    <cfRule type="duplicateValues" dxfId="3764" priority="7637"/>
  </conditionalFormatting>
  <conditionalFormatting sqref="C12:C13">
    <cfRule type="duplicateValues" dxfId="3763" priority="7636"/>
  </conditionalFormatting>
  <conditionalFormatting sqref="C12:C13">
    <cfRule type="duplicateValues" dxfId="3762" priority="7634" stopIfTrue="1"/>
    <cfRule type="duplicateValues" dxfId="3761" priority="7635"/>
  </conditionalFormatting>
  <conditionalFormatting sqref="C12:C13">
    <cfRule type="duplicateValues" dxfId="3760" priority="7633"/>
  </conditionalFormatting>
  <conditionalFormatting sqref="C12:C13">
    <cfRule type="duplicateValues" dxfId="3759" priority="7631" stopIfTrue="1"/>
    <cfRule type="duplicateValues" dxfId="3758" priority="7632"/>
  </conditionalFormatting>
  <conditionalFormatting sqref="C12:C13">
    <cfRule type="duplicateValues" dxfId="3757" priority="7630"/>
  </conditionalFormatting>
  <conditionalFormatting sqref="C12:C13">
    <cfRule type="duplicateValues" dxfId="3756" priority="7628" stopIfTrue="1"/>
    <cfRule type="duplicateValues" dxfId="3755" priority="7629"/>
  </conditionalFormatting>
  <conditionalFormatting sqref="C12:C13">
    <cfRule type="duplicateValues" dxfId="3754" priority="7627"/>
  </conditionalFormatting>
  <conditionalFormatting sqref="C12:C13">
    <cfRule type="duplicateValues" dxfId="3753" priority="7625" stopIfTrue="1"/>
    <cfRule type="duplicateValues" dxfId="3752" priority="7626"/>
  </conditionalFormatting>
  <conditionalFormatting sqref="C12:C13">
    <cfRule type="duplicateValues" dxfId="3751" priority="7624"/>
  </conditionalFormatting>
  <conditionalFormatting sqref="C12:C13">
    <cfRule type="duplicateValues" dxfId="3750" priority="7622" stopIfTrue="1"/>
    <cfRule type="duplicateValues" dxfId="3749" priority="7623"/>
  </conditionalFormatting>
  <conditionalFormatting sqref="C12:C13">
    <cfRule type="duplicateValues" dxfId="3748" priority="7621"/>
  </conditionalFormatting>
  <conditionalFormatting sqref="C12:C13">
    <cfRule type="duplicateValues" dxfId="3747" priority="7620"/>
  </conditionalFormatting>
  <conditionalFormatting sqref="C12:C13">
    <cfRule type="duplicateValues" dxfId="3746" priority="7619"/>
  </conditionalFormatting>
  <conditionalFormatting sqref="C12:C13">
    <cfRule type="duplicateValues" dxfId="3745" priority="7618"/>
  </conditionalFormatting>
  <conditionalFormatting sqref="C12:C13">
    <cfRule type="duplicateValues" dxfId="3744" priority="7617"/>
  </conditionalFormatting>
  <conditionalFormatting sqref="C12:C13">
    <cfRule type="duplicateValues" dxfId="3743" priority="7616"/>
  </conditionalFormatting>
  <conditionalFormatting sqref="C12:C13">
    <cfRule type="duplicateValues" dxfId="3742" priority="7615"/>
  </conditionalFormatting>
  <conditionalFormatting sqref="C12:C13">
    <cfRule type="duplicateValues" dxfId="3741" priority="7614"/>
  </conditionalFormatting>
  <conditionalFormatting sqref="C12:C13">
    <cfRule type="duplicateValues" dxfId="3740" priority="7613"/>
  </conditionalFormatting>
  <conditionalFormatting sqref="C12:C13">
    <cfRule type="duplicateValues" dxfId="3739" priority="7612"/>
  </conditionalFormatting>
  <conditionalFormatting sqref="C12:C13">
    <cfRule type="duplicateValues" dxfId="3738" priority="7611"/>
  </conditionalFormatting>
  <conditionalFormatting sqref="C12:C13">
    <cfRule type="duplicateValues" dxfId="3737" priority="7610"/>
  </conditionalFormatting>
  <conditionalFormatting sqref="C12:C13">
    <cfRule type="duplicateValues" dxfId="3736" priority="7609"/>
  </conditionalFormatting>
  <conditionalFormatting sqref="C12:C13">
    <cfRule type="duplicateValues" dxfId="3735" priority="7608"/>
  </conditionalFormatting>
  <conditionalFormatting sqref="C12:C13">
    <cfRule type="duplicateValues" dxfId="3734" priority="7607"/>
  </conditionalFormatting>
  <conditionalFormatting sqref="C12:C13">
    <cfRule type="duplicateValues" dxfId="3733" priority="7606"/>
  </conditionalFormatting>
  <conditionalFormatting sqref="C12:C13">
    <cfRule type="duplicateValues" dxfId="3732" priority="7605"/>
  </conditionalFormatting>
  <conditionalFormatting sqref="C12:C13">
    <cfRule type="duplicateValues" dxfId="3731" priority="7604"/>
  </conditionalFormatting>
  <conditionalFormatting sqref="C12:C13">
    <cfRule type="duplicateValues" dxfId="3730" priority="7603"/>
  </conditionalFormatting>
  <conditionalFormatting sqref="C12:C13">
    <cfRule type="duplicateValues" dxfId="3729" priority="7602"/>
  </conditionalFormatting>
  <conditionalFormatting sqref="C12:C13">
    <cfRule type="duplicateValues" dxfId="3728" priority="7601"/>
  </conditionalFormatting>
  <conditionalFormatting sqref="C12:C13">
    <cfRule type="duplicateValues" dxfId="3727" priority="7600"/>
  </conditionalFormatting>
  <conditionalFormatting sqref="C12:C13">
    <cfRule type="duplicateValues" dxfId="3726" priority="7599"/>
  </conditionalFormatting>
  <conditionalFormatting sqref="C12:C13">
    <cfRule type="duplicateValues" dxfId="3725" priority="7598"/>
  </conditionalFormatting>
  <conditionalFormatting sqref="C12:C13">
    <cfRule type="duplicateValues" dxfId="3724" priority="7597"/>
  </conditionalFormatting>
  <conditionalFormatting sqref="C12:C13">
    <cfRule type="duplicateValues" dxfId="3723" priority="7596"/>
  </conditionalFormatting>
  <conditionalFormatting sqref="C12:C13">
    <cfRule type="duplicateValues" dxfId="3722" priority="7595"/>
  </conditionalFormatting>
  <conditionalFormatting sqref="C12:C13">
    <cfRule type="duplicateValues" dxfId="3721" priority="7594"/>
  </conditionalFormatting>
  <conditionalFormatting sqref="C12:C13">
    <cfRule type="duplicateValues" dxfId="3720" priority="7593"/>
  </conditionalFormatting>
  <conditionalFormatting sqref="C12:C13">
    <cfRule type="duplicateValues" dxfId="3719" priority="7592"/>
  </conditionalFormatting>
  <conditionalFormatting sqref="C12:C13">
    <cfRule type="duplicateValues" dxfId="3718" priority="7591"/>
  </conditionalFormatting>
  <conditionalFormatting sqref="C12:C13">
    <cfRule type="duplicateValues" dxfId="3717" priority="7590"/>
  </conditionalFormatting>
  <conditionalFormatting sqref="C12:C13">
    <cfRule type="duplicateValues" dxfId="3716" priority="7589"/>
  </conditionalFormatting>
  <conditionalFormatting sqref="C12:C13">
    <cfRule type="duplicateValues" dxfId="3715" priority="7588"/>
  </conditionalFormatting>
  <conditionalFormatting sqref="C12:C13">
    <cfRule type="duplicateValues" dxfId="3714" priority="7587"/>
  </conditionalFormatting>
  <conditionalFormatting sqref="C12:C13">
    <cfRule type="duplicateValues" dxfId="3713" priority="7586"/>
  </conditionalFormatting>
  <conditionalFormatting sqref="C12:C13">
    <cfRule type="duplicateValues" dxfId="3712" priority="7585"/>
  </conditionalFormatting>
  <conditionalFormatting sqref="C12:C13">
    <cfRule type="duplicateValues" dxfId="3711" priority="7584"/>
  </conditionalFormatting>
  <conditionalFormatting sqref="C12:C13">
    <cfRule type="duplicateValues" dxfId="3710" priority="7583"/>
  </conditionalFormatting>
  <conditionalFormatting sqref="C12:C13">
    <cfRule type="duplicateValues" dxfId="3709" priority="7582"/>
  </conditionalFormatting>
  <conditionalFormatting sqref="C12:C13">
    <cfRule type="duplicateValues" dxfId="3708" priority="7580" stopIfTrue="1"/>
    <cfRule type="duplicateValues" dxfId="3707" priority="7581"/>
  </conditionalFormatting>
  <conditionalFormatting sqref="C12:C13">
    <cfRule type="duplicateValues" dxfId="3706" priority="7579"/>
  </conditionalFormatting>
  <conditionalFormatting sqref="C12:C13">
    <cfRule type="duplicateValues" dxfId="3705" priority="7578"/>
  </conditionalFormatting>
  <conditionalFormatting sqref="C12:C13">
    <cfRule type="duplicateValues" dxfId="3704" priority="7577"/>
  </conditionalFormatting>
  <conditionalFormatting sqref="C12:C13">
    <cfRule type="duplicateValues" dxfId="3703" priority="7576"/>
  </conditionalFormatting>
  <conditionalFormatting sqref="C12:C13">
    <cfRule type="duplicateValues" dxfId="3702" priority="7575"/>
  </conditionalFormatting>
  <conditionalFormatting sqref="C12:C13">
    <cfRule type="duplicateValues" dxfId="3701" priority="7574"/>
  </conditionalFormatting>
  <conditionalFormatting sqref="C12:C13">
    <cfRule type="duplicateValues" dxfId="3700" priority="7573"/>
  </conditionalFormatting>
  <conditionalFormatting sqref="C12:C13">
    <cfRule type="duplicateValues" dxfId="3699" priority="7572"/>
  </conditionalFormatting>
  <conditionalFormatting sqref="C12:C13">
    <cfRule type="duplicateValues" dxfId="3698" priority="7571"/>
  </conditionalFormatting>
  <conditionalFormatting sqref="C12:C13">
    <cfRule type="duplicateValues" dxfId="3697" priority="7570"/>
  </conditionalFormatting>
  <conditionalFormatting sqref="C12:C13">
    <cfRule type="duplicateValues" dxfId="3696" priority="7569"/>
  </conditionalFormatting>
  <conditionalFormatting sqref="C12:C13">
    <cfRule type="duplicateValues" dxfId="3695" priority="7567" stopIfTrue="1"/>
    <cfRule type="duplicateValues" dxfId="3694" priority="7568"/>
  </conditionalFormatting>
  <conditionalFormatting sqref="C12:C13">
    <cfRule type="duplicateValues" dxfId="3693" priority="7566"/>
  </conditionalFormatting>
  <conditionalFormatting sqref="C12:C13">
    <cfRule type="duplicateValues" dxfId="3692" priority="7564" stopIfTrue="1"/>
    <cfRule type="duplicateValues" dxfId="3691" priority="7565"/>
  </conditionalFormatting>
  <conditionalFormatting sqref="C12:C13">
    <cfRule type="duplicateValues" dxfId="3690" priority="7563"/>
  </conditionalFormatting>
  <conditionalFormatting sqref="C12:C13">
    <cfRule type="duplicateValues" dxfId="3689" priority="7561" stopIfTrue="1"/>
    <cfRule type="duplicateValues" dxfId="3688" priority="7562"/>
  </conditionalFormatting>
  <conditionalFormatting sqref="C12:C13">
    <cfRule type="duplicateValues" dxfId="3687" priority="7560"/>
  </conditionalFormatting>
  <conditionalFormatting sqref="C12:C13">
    <cfRule type="duplicateValues" dxfId="3686" priority="7558" stopIfTrue="1"/>
    <cfRule type="duplicateValues" dxfId="3685" priority="7559"/>
  </conditionalFormatting>
  <conditionalFormatting sqref="C12:C13">
    <cfRule type="duplicateValues" dxfId="3684" priority="7557"/>
  </conditionalFormatting>
  <conditionalFormatting sqref="C12:C13">
    <cfRule type="duplicateValues" dxfId="3683" priority="7555" stopIfTrue="1"/>
    <cfRule type="duplicateValues" dxfId="3682" priority="7556"/>
  </conditionalFormatting>
  <conditionalFormatting sqref="C12:C13">
    <cfRule type="duplicateValues" dxfId="3681" priority="7554"/>
  </conditionalFormatting>
  <conditionalFormatting sqref="C12:C13">
    <cfRule type="duplicateValues" dxfId="3680" priority="7553"/>
  </conditionalFormatting>
  <conditionalFormatting sqref="C12:C13">
    <cfRule type="duplicateValues" dxfId="3679" priority="7552"/>
  </conditionalFormatting>
  <conditionalFormatting sqref="C12:C13">
    <cfRule type="duplicateValues" dxfId="3678" priority="7551"/>
  </conditionalFormatting>
  <conditionalFormatting sqref="C12:C13">
    <cfRule type="duplicateValues" dxfId="3677" priority="7550"/>
  </conditionalFormatting>
  <conditionalFormatting sqref="C12:C13">
    <cfRule type="duplicateValues" dxfId="3676" priority="7549"/>
  </conditionalFormatting>
  <conditionalFormatting sqref="C12:C13">
    <cfRule type="duplicateValues" dxfId="3675" priority="7547" stopIfTrue="1"/>
    <cfRule type="duplicateValues" dxfId="3674" priority="7548"/>
  </conditionalFormatting>
  <conditionalFormatting sqref="C12:C13">
    <cfRule type="duplicateValues" dxfId="3673" priority="7546"/>
  </conditionalFormatting>
  <conditionalFormatting sqref="C12:C13">
    <cfRule type="duplicateValues" dxfId="3672" priority="7544" stopIfTrue="1"/>
    <cfRule type="duplicateValues" dxfId="3671" priority="7545"/>
  </conditionalFormatting>
  <conditionalFormatting sqref="C12:C13">
    <cfRule type="duplicateValues" dxfId="3670" priority="7543"/>
  </conditionalFormatting>
  <conditionalFormatting sqref="C12:C13">
    <cfRule type="duplicateValues" dxfId="3669" priority="7541" stopIfTrue="1"/>
    <cfRule type="duplicateValues" dxfId="3668" priority="7542"/>
  </conditionalFormatting>
  <conditionalFormatting sqref="C12:C13">
    <cfRule type="duplicateValues" dxfId="3667" priority="7540"/>
  </conditionalFormatting>
  <conditionalFormatting sqref="C12:C13">
    <cfRule type="duplicateValues" dxfId="3666" priority="7538" stopIfTrue="1"/>
    <cfRule type="duplicateValues" dxfId="3665" priority="7539"/>
  </conditionalFormatting>
  <conditionalFormatting sqref="C12:C13">
    <cfRule type="duplicateValues" dxfId="3664" priority="7537"/>
  </conditionalFormatting>
  <conditionalFormatting sqref="C12:C13">
    <cfRule type="duplicateValues" dxfId="3663" priority="7535" stopIfTrue="1"/>
    <cfRule type="duplicateValues" dxfId="3662" priority="7536"/>
  </conditionalFormatting>
  <conditionalFormatting sqref="C12:C13">
    <cfRule type="duplicateValues" dxfId="3661" priority="7534"/>
  </conditionalFormatting>
  <conditionalFormatting sqref="C12:C13">
    <cfRule type="duplicateValues" dxfId="3660" priority="7533"/>
  </conditionalFormatting>
  <conditionalFormatting sqref="C12:C13">
    <cfRule type="duplicateValues" dxfId="3659" priority="7532"/>
  </conditionalFormatting>
  <conditionalFormatting sqref="C12:C13">
    <cfRule type="duplicateValues" dxfId="3658" priority="7531"/>
  </conditionalFormatting>
  <conditionalFormatting sqref="C12:C13">
    <cfRule type="duplicateValues" dxfId="3657" priority="7530"/>
  </conditionalFormatting>
  <conditionalFormatting sqref="C12:C13">
    <cfRule type="duplicateValues" dxfId="3656" priority="7529"/>
  </conditionalFormatting>
  <conditionalFormatting sqref="C12:C13">
    <cfRule type="duplicateValues" dxfId="3655" priority="7527" stopIfTrue="1"/>
    <cfRule type="duplicateValues" dxfId="3654" priority="7528"/>
  </conditionalFormatting>
  <conditionalFormatting sqref="C12:C13">
    <cfRule type="duplicateValues" dxfId="3653" priority="7526"/>
  </conditionalFormatting>
  <conditionalFormatting sqref="C12:C13">
    <cfRule type="duplicateValues" dxfId="3652" priority="7524" stopIfTrue="1"/>
    <cfRule type="duplicateValues" dxfId="3651" priority="7525"/>
  </conditionalFormatting>
  <conditionalFormatting sqref="C12:C13">
    <cfRule type="duplicateValues" dxfId="3650" priority="7523"/>
  </conditionalFormatting>
  <conditionalFormatting sqref="C12:C13">
    <cfRule type="duplicateValues" dxfId="3649" priority="7521" stopIfTrue="1"/>
    <cfRule type="duplicateValues" dxfId="3648" priority="7522"/>
  </conditionalFormatting>
  <conditionalFormatting sqref="C12:C13">
    <cfRule type="duplicateValues" dxfId="3647" priority="7520"/>
  </conditionalFormatting>
  <conditionalFormatting sqref="C12:C13">
    <cfRule type="duplicateValues" dxfId="3646" priority="7518" stopIfTrue="1"/>
    <cfRule type="duplicateValues" dxfId="3645" priority="7519"/>
  </conditionalFormatting>
  <conditionalFormatting sqref="C12:C13">
    <cfRule type="duplicateValues" dxfId="3644" priority="7517"/>
  </conditionalFormatting>
  <conditionalFormatting sqref="C12:C13">
    <cfRule type="duplicateValues" dxfId="3643" priority="7515" stopIfTrue="1"/>
    <cfRule type="duplicateValues" dxfId="3642" priority="7516"/>
  </conditionalFormatting>
  <conditionalFormatting sqref="C12:C13">
    <cfRule type="duplicateValues" dxfId="3641" priority="7514"/>
  </conditionalFormatting>
  <conditionalFormatting sqref="C12:C13">
    <cfRule type="duplicateValues" dxfId="3640" priority="7513"/>
  </conditionalFormatting>
  <conditionalFormatting sqref="C12:C13">
    <cfRule type="duplicateValues" dxfId="3639" priority="7512"/>
  </conditionalFormatting>
  <conditionalFormatting sqref="C12:C13">
    <cfRule type="duplicateValues" dxfId="3638" priority="7511"/>
  </conditionalFormatting>
  <conditionalFormatting sqref="C12:C13">
    <cfRule type="duplicateValues" dxfId="3637" priority="7510"/>
  </conditionalFormatting>
  <conditionalFormatting sqref="C12:C13">
    <cfRule type="duplicateValues" dxfId="3636" priority="7509"/>
  </conditionalFormatting>
  <conditionalFormatting sqref="C12:C13">
    <cfRule type="duplicateValues" dxfId="3635" priority="7507" stopIfTrue="1"/>
    <cfRule type="duplicateValues" dxfId="3634" priority="7508"/>
  </conditionalFormatting>
  <conditionalFormatting sqref="C12:C13">
    <cfRule type="duplicateValues" dxfId="3633" priority="7506"/>
  </conditionalFormatting>
  <conditionalFormatting sqref="C12:C13">
    <cfRule type="duplicateValues" dxfId="3632" priority="7504" stopIfTrue="1"/>
    <cfRule type="duplicateValues" dxfId="3631" priority="7505"/>
  </conditionalFormatting>
  <conditionalFormatting sqref="C12:C13">
    <cfRule type="duplicateValues" dxfId="3630" priority="7503"/>
  </conditionalFormatting>
  <conditionalFormatting sqref="C12:C13">
    <cfRule type="duplicateValues" dxfId="3629" priority="7501" stopIfTrue="1"/>
    <cfRule type="duplicateValues" dxfId="3628" priority="7502"/>
  </conditionalFormatting>
  <conditionalFormatting sqref="C12:C13">
    <cfRule type="duplicateValues" dxfId="3627" priority="7500"/>
  </conditionalFormatting>
  <conditionalFormatting sqref="C12:C13">
    <cfRule type="duplicateValues" dxfId="3626" priority="7498" stopIfTrue="1"/>
    <cfRule type="duplicateValues" dxfId="3625" priority="7499"/>
  </conditionalFormatting>
  <conditionalFormatting sqref="C12:C13">
    <cfRule type="duplicateValues" dxfId="3624" priority="7497"/>
  </conditionalFormatting>
  <conditionalFormatting sqref="C12:C13">
    <cfRule type="duplicateValues" dxfId="3623" priority="7495" stopIfTrue="1"/>
    <cfRule type="duplicateValues" dxfId="3622" priority="7496"/>
  </conditionalFormatting>
  <conditionalFormatting sqref="C12:C13">
    <cfRule type="duplicateValues" dxfId="3621" priority="7494"/>
  </conditionalFormatting>
  <conditionalFormatting sqref="C12:C13">
    <cfRule type="duplicateValues" dxfId="3620" priority="7493"/>
  </conditionalFormatting>
  <conditionalFormatting sqref="C12:C13">
    <cfRule type="duplicateValues" dxfId="3619" priority="7492"/>
  </conditionalFormatting>
  <conditionalFormatting sqref="C12:C13">
    <cfRule type="duplicateValues" dxfId="3618" priority="7491"/>
  </conditionalFormatting>
  <conditionalFormatting sqref="C12:C13">
    <cfRule type="duplicateValues" dxfId="3617" priority="7490"/>
  </conditionalFormatting>
  <conditionalFormatting sqref="C12:C13">
    <cfRule type="duplicateValues" dxfId="3616" priority="7489"/>
  </conditionalFormatting>
  <conditionalFormatting sqref="C12:C13">
    <cfRule type="duplicateValues" dxfId="3615" priority="7488"/>
  </conditionalFormatting>
  <conditionalFormatting sqref="C12:C13">
    <cfRule type="duplicateValues" dxfId="3614" priority="7487"/>
  </conditionalFormatting>
  <conditionalFormatting sqref="C12:C13">
    <cfRule type="duplicateValues" dxfId="3613" priority="7486"/>
  </conditionalFormatting>
  <conditionalFormatting sqref="C12:C13">
    <cfRule type="duplicateValues" dxfId="3612" priority="7485"/>
  </conditionalFormatting>
  <conditionalFormatting sqref="C12:C13">
    <cfRule type="duplicateValues" dxfId="3611" priority="7484"/>
  </conditionalFormatting>
  <conditionalFormatting sqref="C12:C13">
    <cfRule type="duplicateValues" dxfId="3610" priority="7483"/>
  </conditionalFormatting>
  <conditionalFormatting sqref="C12:C13">
    <cfRule type="duplicateValues" dxfId="3609" priority="7482"/>
  </conditionalFormatting>
  <conditionalFormatting sqref="C12:C13">
    <cfRule type="duplicateValues" dxfId="3608" priority="7481"/>
  </conditionalFormatting>
  <conditionalFormatting sqref="C12:C13">
    <cfRule type="duplicateValues" dxfId="3607" priority="7480"/>
  </conditionalFormatting>
  <conditionalFormatting sqref="C12:C13">
    <cfRule type="duplicateValues" dxfId="3606" priority="7479"/>
  </conditionalFormatting>
  <conditionalFormatting sqref="C12:C13">
    <cfRule type="duplicateValues" dxfId="3605" priority="7478"/>
  </conditionalFormatting>
  <conditionalFormatting sqref="C12:C13">
    <cfRule type="duplicateValues" dxfId="3604" priority="7477"/>
  </conditionalFormatting>
  <conditionalFormatting sqref="C12:C13">
    <cfRule type="duplicateValues" dxfId="3603" priority="7476"/>
  </conditionalFormatting>
  <conditionalFormatting sqref="C12:C13">
    <cfRule type="duplicateValues" dxfId="3602" priority="7475"/>
  </conditionalFormatting>
  <conditionalFormatting sqref="C12:C13">
    <cfRule type="duplicateValues" dxfId="3601" priority="7474"/>
  </conditionalFormatting>
  <conditionalFormatting sqref="C12:C13">
    <cfRule type="duplicateValues" dxfId="3600" priority="7473"/>
  </conditionalFormatting>
  <conditionalFormatting sqref="C12:C13">
    <cfRule type="duplicateValues" dxfId="3599" priority="7472"/>
  </conditionalFormatting>
  <conditionalFormatting sqref="C12:C13">
    <cfRule type="duplicateValues" dxfId="3598" priority="7471"/>
  </conditionalFormatting>
  <conditionalFormatting sqref="C12:C13">
    <cfRule type="duplicateValues" dxfId="3597" priority="7470"/>
  </conditionalFormatting>
  <conditionalFormatting sqref="C12:C13">
    <cfRule type="duplicateValues" dxfId="3596" priority="7469"/>
  </conditionalFormatting>
  <conditionalFormatting sqref="C12:C13">
    <cfRule type="duplicateValues" dxfId="3595" priority="7468"/>
  </conditionalFormatting>
  <conditionalFormatting sqref="C12:C13">
    <cfRule type="duplicateValues" dxfId="3594" priority="7467"/>
  </conditionalFormatting>
  <conditionalFormatting sqref="C12:C13">
    <cfRule type="duplicateValues" dxfId="3593" priority="7466"/>
  </conditionalFormatting>
  <conditionalFormatting sqref="C12:C13">
    <cfRule type="duplicateValues" dxfId="3592" priority="7465"/>
  </conditionalFormatting>
  <conditionalFormatting sqref="C12:C13">
    <cfRule type="duplicateValues" dxfId="3591" priority="7464"/>
  </conditionalFormatting>
  <conditionalFormatting sqref="C12:C13">
    <cfRule type="duplicateValues" dxfId="3590" priority="7463"/>
  </conditionalFormatting>
  <conditionalFormatting sqref="C12:C13">
    <cfRule type="duplicateValues" dxfId="3589" priority="7462"/>
  </conditionalFormatting>
  <conditionalFormatting sqref="C12:C13">
    <cfRule type="duplicateValues" dxfId="3588" priority="7461"/>
  </conditionalFormatting>
  <conditionalFormatting sqref="C12:C13">
    <cfRule type="duplicateValues" dxfId="3587" priority="7460"/>
  </conditionalFormatting>
  <conditionalFormatting sqref="C12:C13">
    <cfRule type="duplicateValues" dxfId="3586" priority="7459"/>
  </conditionalFormatting>
  <conditionalFormatting sqref="C12:C13">
    <cfRule type="duplicateValues" dxfId="3585" priority="7458"/>
  </conditionalFormatting>
  <conditionalFormatting sqref="C12:C13">
    <cfRule type="duplicateValues" dxfId="3584" priority="7457"/>
  </conditionalFormatting>
  <conditionalFormatting sqref="C12:C13">
    <cfRule type="duplicateValues" dxfId="3583" priority="7456"/>
  </conditionalFormatting>
  <conditionalFormatting sqref="C12:C13">
    <cfRule type="duplicateValues" dxfId="3582" priority="7455"/>
  </conditionalFormatting>
  <conditionalFormatting sqref="C12:C13">
    <cfRule type="duplicateValues" dxfId="3581" priority="7453" stopIfTrue="1"/>
    <cfRule type="duplicateValues" dxfId="3580" priority="7454"/>
  </conditionalFormatting>
  <conditionalFormatting sqref="C12:C13">
    <cfRule type="duplicateValues" dxfId="3579" priority="7452"/>
  </conditionalFormatting>
  <conditionalFormatting sqref="C12:C13">
    <cfRule type="duplicateValues" dxfId="3578" priority="7451"/>
  </conditionalFormatting>
  <conditionalFormatting sqref="C12:C13">
    <cfRule type="duplicateValues" dxfId="3577" priority="7450"/>
  </conditionalFormatting>
  <conditionalFormatting sqref="C12:C13">
    <cfRule type="duplicateValues" dxfId="3576" priority="7449"/>
  </conditionalFormatting>
  <conditionalFormatting sqref="C12:C13">
    <cfRule type="duplicateValues" dxfId="3575" priority="7447" stopIfTrue="1"/>
    <cfRule type="duplicateValues" dxfId="3574" priority="7448"/>
  </conditionalFormatting>
  <conditionalFormatting sqref="C12:C13">
    <cfRule type="duplicateValues" dxfId="3573" priority="7446"/>
  </conditionalFormatting>
  <conditionalFormatting sqref="C12:C13">
    <cfRule type="duplicateValues" dxfId="3572" priority="7444" stopIfTrue="1"/>
    <cfRule type="duplicateValues" dxfId="3571" priority="7445"/>
  </conditionalFormatting>
  <conditionalFormatting sqref="C12:C13">
    <cfRule type="duplicateValues" dxfId="3570" priority="7443"/>
  </conditionalFormatting>
  <conditionalFormatting sqref="C12:C13">
    <cfRule type="duplicateValues" dxfId="3569" priority="7441" stopIfTrue="1"/>
    <cfRule type="duplicateValues" dxfId="3568" priority="7442"/>
  </conditionalFormatting>
  <conditionalFormatting sqref="C12:C13">
    <cfRule type="duplicateValues" dxfId="3567" priority="7440"/>
  </conditionalFormatting>
  <conditionalFormatting sqref="C12:C13">
    <cfRule type="duplicateValues" dxfId="3566" priority="7438" stopIfTrue="1"/>
    <cfRule type="duplicateValues" dxfId="3565" priority="7439"/>
  </conditionalFormatting>
  <conditionalFormatting sqref="C12:C13">
    <cfRule type="duplicateValues" dxfId="3564" priority="7437"/>
  </conditionalFormatting>
  <conditionalFormatting sqref="C12:C13">
    <cfRule type="duplicateValues" dxfId="3563" priority="7435" stopIfTrue="1"/>
    <cfRule type="duplicateValues" dxfId="3562" priority="7436"/>
  </conditionalFormatting>
  <conditionalFormatting sqref="C12:C13">
    <cfRule type="duplicateValues" dxfId="3561" priority="7434"/>
  </conditionalFormatting>
  <conditionalFormatting sqref="C12:C13">
    <cfRule type="duplicateValues" dxfId="3560" priority="7433"/>
  </conditionalFormatting>
  <conditionalFormatting sqref="C12:C13">
    <cfRule type="duplicateValues" dxfId="3559" priority="7432"/>
  </conditionalFormatting>
  <conditionalFormatting sqref="C12:C13">
    <cfRule type="duplicateValues" dxfId="3558" priority="7431"/>
  </conditionalFormatting>
  <conditionalFormatting sqref="C12:C13">
    <cfRule type="duplicateValues" dxfId="3557" priority="7430"/>
  </conditionalFormatting>
  <conditionalFormatting sqref="C12:C13">
    <cfRule type="duplicateValues" dxfId="3556" priority="7429"/>
  </conditionalFormatting>
  <conditionalFormatting sqref="C12:C13">
    <cfRule type="duplicateValues" dxfId="3555" priority="7427" stopIfTrue="1"/>
    <cfRule type="duplicateValues" dxfId="3554" priority="7428"/>
  </conditionalFormatting>
  <conditionalFormatting sqref="C12:C13">
    <cfRule type="duplicateValues" dxfId="3553" priority="7426"/>
  </conditionalFormatting>
  <conditionalFormatting sqref="C12:C13">
    <cfRule type="duplicateValues" dxfId="3552" priority="7424" stopIfTrue="1"/>
    <cfRule type="duplicateValues" dxfId="3551" priority="7425"/>
  </conditionalFormatting>
  <conditionalFormatting sqref="C12:C13">
    <cfRule type="duplicateValues" dxfId="3550" priority="7423"/>
  </conditionalFormatting>
  <conditionalFormatting sqref="C12:C13">
    <cfRule type="duplicateValues" dxfId="3549" priority="7421" stopIfTrue="1"/>
    <cfRule type="duplicateValues" dxfId="3548" priority="7422"/>
  </conditionalFormatting>
  <conditionalFormatting sqref="C12:C13">
    <cfRule type="duplicateValues" dxfId="3547" priority="7420"/>
  </conditionalFormatting>
  <conditionalFormatting sqref="C12:C13">
    <cfRule type="duplicateValues" dxfId="3546" priority="7418" stopIfTrue="1"/>
    <cfRule type="duplicateValues" dxfId="3545" priority="7419"/>
  </conditionalFormatting>
  <conditionalFormatting sqref="C12:C13">
    <cfRule type="duplicateValues" dxfId="3544" priority="7417"/>
  </conditionalFormatting>
  <conditionalFormatting sqref="C12:C13">
    <cfRule type="duplicateValues" dxfId="3543" priority="7415" stopIfTrue="1"/>
    <cfRule type="duplicateValues" dxfId="3542" priority="7416"/>
  </conditionalFormatting>
  <conditionalFormatting sqref="C12:C13">
    <cfRule type="duplicateValues" dxfId="3541" priority="7414"/>
  </conditionalFormatting>
  <conditionalFormatting sqref="C12:C13">
    <cfRule type="duplicateValues" dxfId="3540" priority="7413"/>
  </conditionalFormatting>
  <conditionalFormatting sqref="C12:C13">
    <cfRule type="duplicateValues" dxfId="3539" priority="7412"/>
  </conditionalFormatting>
  <conditionalFormatting sqref="C12:C13">
    <cfRule type="duplicateValues" dxfId="3538" priority="7411"/>
  </conditionalFormatting>
  <conditionalFormatting sqref="C12:C13">
    <cfRule type="duplicateValues" dxfId="3537" priority="7410"/>
  </conditionalFormatting>
  <conditionalFormatting sqref="C12:C13">
    <cfRule type="duplicateValues" dxfId="3536" priority="7409"/>
  </conditionalFormatting>
  <conditionalFormatting sqref="C12:C13">
    <cfRule type="duplicateValues" dxfId="3535" priority="7407" stopIfTrue="1"/>
    <cfRule type="duplicateValues" dxfId="3534" priority="7408"/>
  </conditionalFormatting>
  <conditionalFormatting sqref="C12:C13">
    <cfRule type="duplicateValues" dxfId="3533" priority="7406"/>
  </conditionalFormatting>
  <conditionalFormatting sqref="C12:C13">
    <cfRule type="duplicateValues" dxfId="3532" priority="7404" stopIfTrue="1"/>
    <cfRule type="duplicateValues" dxfId="3531" priority="7405"/>
  </conditionalFormatting>
  <conditionalFormatting sqref="C12:C13">
    <cfRule type="duplicateValues" dxfId="3530" priority="7403"/>
  </conditionalFormatting>
  <conditionalFormatting sqref="C12:C13">
    <cfRule type="duplicateValues" dxfId="3529" priority="7401" stopIfTrue="1"/>
    <cfRule type="duplicateValues" dxfId="3528" priority="7402"/>
  </conditionalFormatting>
  <conditionalFormatting sqref="C12:C13">
    <cfRule type="duplicateValues" dxfId="3527" priority="7400"/>
  </conditionalFormatting>
  <conditionalFormatting sqref="C12:C13">
    <cfRule type="duplicateValues" dxfId="3526" priority="7398" stopIfTrue="1"/>
    <cfRule type="duplicateValues" dxfId="3525" priority="7399"/>
  </conditionalFormatting>
  <conditionalFormatting sqref="C12:C13">
    <cfRule type="duplicateValues" dxfId="3524" priority="7397"/>
  </conditionalFormatting>
  <conditionalFormatting sqref="C12:C13">
    <cfRule type="duplicateValues" dxfId="3523" priority="7395" stopIfTrue="1"/>
    <cfRule type="duplicateValues" dxfId="3522" priority="7396"/>
  </conditionalFormatting>
  <conditionalFormatting sqref="C12:C13">
    <cfRule type="duplicateValues" dxfId="3521" priority="7394"/>
  </conditionalFormatting>
  <conditionalFormatting sqref="C12:C13">
    <cfRule type="duplicateValues" dxfId="3520" priority="7393"/>
  </conditionalFormatting>
  <conditionalFormatting sqref="C12:C13">
    <cfRule type="duplicateValues" dxfId="3519" priority="7392"/>
  </conditionalFormatting>
  <conditionalFormatting sqref="C12:C13">
    <cfRule type="duplicateValues" dxfId="3518" priority="7391"/>
  </conditionalFormatting>
  <conditionalFormatting sqref="C12:C13">
    <cfRule type="duplicateValues" dxfId="3517" priority="7390"/>
  </conditionalFormatting>
  <conditionalFormatting sqref="C12:C13">
    <cfRule type="duplicateValues" dxfId="3516" priority="7389"/>
  </conditionalFormatting>
  <conditionalFormatting sqref="C12:C13">
    <cfRule type="duplicateValues" dxfId="3515" priority="7388"/>
  </conditionalFormatting>
  <conditionalFormatting sqref="C12:C13">
    <cfRule type="duplicateValues" dxfId="3514" priority="7387"/>
  </conditionalFormatting>
  <conditionalFormatting sqref="C12:C13">
    <cfRule type="duplicateValues" dxfId="3513" priority="7386"/>
  </conditionalFormatting>
  <conditionalFormatting sqref="C12:C13">
    <cfRule type="duplicateValues" dxfId="3512" priority="7385"/>
  </conditionalFormatting>
  <conditionalFormatting sqref="C12:C13">
    <cfRule type="duplicateValues" dxfId="3511" priority="7384"/>
  </conditionalFormatting>
  <conditionalFormatting sqref="C12:C13">
    <cfRule type="duplicateValues" dxfId="3510" priority="7383"/>
  </conditionalFormatting>
  <conditionalFormatting sqref="C12:C13">
    <cfRule type="duplicateValues" dxfId="3509" priority="7382"/>
  </conditionalFormatting>
  <conditionalFormatting sqref="C12:C13">
    <cfRule type="duplicateValues" dxfId="3508" priority="7381"/>
  </conditionalFormatting>
  <conditionalFormatting sqref="C12:C13">
    <cfRule type="duplicateValues" dxfId="3507" priority="7380"/>
  </conditionalFormatting>
  <conditionalFormatting sqref="C12:C13">
    <cfRule type="duplicateValues" dxfId="3506" priority="7379"/>
  </conditionalFormatting>
  <conditionalFormatting sqref="C12:C13">
    <cfRule type="duplicateValues" dxfId="3505" priority="7378"/>
  </conditionalFormatting>
  <conditionalFormatting sqref="C12:C13">
    <cfRule type="duplicateValues" dxfId="3504" priority="7377"/>
  </conditionalFormatting>
  <conditionalFormatting sqref="C12:C13">
    <cfRule type="duplicateValues" dxfId="3503" priority="7376"/>
  </conditionalFormatting>
  <conditionalFormatting sqref="C12:C13">
    <cfRule type="duplicateValues" dxfId="3502" priority="7375"/>
  </conditionalFormatting>
  <conditionalFormatting sqref="C12:C13">
    <cfRule type="duplicateValues" dxfId="3501" priority="7374"/>
  </conditionalFormatting>
  <conditionalFormatting sqref="C12:C13">
    <cfRule type="duplicateValues" dxfId="3500" priority="7373"/>
  </conditionalFormatting>
  <conditionalFormatting sqref="C12:C13">
    <cfRule type="duplicateValues" dxfId="3499" priority="7372"/>
  </conditionalFormatting>
  <conditionalFormatting sqref="C12:C13">
    <cfRule type="duplicateValues" dxfId="3498" priority="7371"/>
  </conditionalFormatting>
  <conditionalFormatting sqref="C12:C13">
    <cfRule type="duplicateValues" dxfId="3497" priority="7370"/>
  </conditionalFormatting>
  <conditionalFormatting sqref="C12:C13">
    <cfRule type="duplicateValues" dxfId="3496" priority="7369"/>
  </conditionalFormatting>
  <conditionalFormatting sqref="C12:C13">
    <cfRule type="duplicateValues" dxfId="3495" priority="7368"/>
  </conditionalFormatting>
  <conditionalFormatting sqref="C12:C13">
    <cfRule type="duplicateValues" dxfId="3494" priority="7367"/>
  </conditionalFormatting>
  <conditionalFormatting sqref="C12:C13">
    <cfRule type="duplicateValues" dxfId="3493" priority="7366"/>
  </conditionalFormatting>
  <conditionalFormatting sqref="C12:C13">
    <cfRule type="duplicateValues" dxfId="3492" priority="7365"/>
  </conditionalFormatting>
  <conditionalFormatting sqref="C12:C13">
    <cfRule type="duplicateValues" dxfId="3491" priority="7364"/>
  </conditionalFormatting>
  <conditionalFormatting sqref="C12:C13">
    <cfRule type="duplicateValues" dxfId="3490" priority="7363"/>
  </conditionalFormatting>
  <conditionalFormatting sqref="C12:C13">
    <cfRule type="duplicateValues" dxfId="3489" priority="7362"/>
  </conditionalFormatting>
  <conditionalFormatting sqref="C12:C13">
    <cfRule type="duplicateValues" dxfId="3488" priority="7361"/>
  </conditionalFormatting>
  <conditionalFormatting sqref="C12:C13">
    <cfRule type="duplicateValues" dxfId="3487" priority="7360"/>
  </conditionalFormatting>
  <conditionalFormatting sqref="C12:C13">
    <cfRule type="duplicateValues" dxfId="3486" priority="7359"/>
  </conditionalFormatting>
  <conditionalFormatting sqref="C12:C13">
    <cfRule type="duplicateValues" dxfId="3485" priority="7358"/>
  </conditionalFormatting>
  <conditionalFormatting sqref="C12:C13">
    <cfRule type="duplicateValues" dxfId="3484" priority="7357"/>
  </conditionalFormatting>
  <conditionalFormatting sqref="C12:C13">
    <cfRule type="duplicateValues" dxfId="3483" priority="7356"/>
  </conditionalFormatting>
  <conditionalFormatting sqref="C12:C13">
    <cfRule type="duplicateValues" dxfId="3482" priority="7355"/>
  </conditionalFormatting>
  <conditionalFormatting sqref="C12:C13">
    <cfRule type="duplicateValues" dxfId="3481" priority="7353" stopIfTrue="1"/>
    <cfRule type="duplicateValues" dxfId="3480" priority="7354"/>
  </conditionalFormatting>
  <conditionalFormatting sqref="C12:C13">
    <cfRule type="duplicateValues" dxfId="3479" priority="7352"/>
  </conditionalFormatting>
  <conditionalFormatting sqref="C12:C13">
    <cfRule type="duplicateValues" dxfId="3478" priority="7351"/>
  </conditionalFormatting>
  <conditionalFormatting sqref="C12:C13">
    <cfRule type="duplicateValues" dxfId="3477" priority="7350"/>
  </conditionalFormatting>
  <conditionalFormatting sqref="C12:C13">
    <cfRule type="duplicateValues" dxfId="3476" priority="7349"/>
  </conditionalFormatting>
  <conditionalFormatting sqref="C12:C13">
    <cfRule type="duplicateValues" dxfId="3475" priority="7347" stopIfTrue="1"/>
    <cfRule type="duplicateValues" dxfId="3474" priority="7348"/>
  </conditionalFormatting>
  <conditionalFormatting sqref="C12:C13">
    <cfRule type="duplicateValues" dxfId="3473" priority="7346"/>
  </conditionalFormatting>
  <conditionalFormatting sqref="C12:C13">
    <cfRule type="duplicateValues" dxfId="3472" priority="7344" stopIfTrue="1"/>
    <cfRule type="duplicateValues" dxfId="3471" priority="7345"/>
  </conditionalFormatting>
  <conditionalFormatting sqref="C12:C13">
    <cfRule type="duplicateValues" dxfId="3470" priority="7343"/>
  </conditionalFormatting>
  <conditionalFormatting sqref="C12:C13">
    <cfRule type="duplicateValues" dxfId="3469" priority="7341" stopIfTrue="1"/>
    <cfRule type="duplicateValues" dxfId="3468" priority="7342"/>
  </conditionalFormatting>
  <conditionalFormatting sqref="C12:C13">
    <cfRule type="duplicateValues" dxfId="3467" priority="7340"/>
  </conditionalFormatting>
  <conditionalFormatting sqref="C12:C13">
    <cfRule type="duplicateValues" dxfId="3466" priority="7338" stopIfTrue="1"/>
    <cfRule type="duplicateValues" dxfId="3465" priority="7339"/>
  </conditionalFormatting>
  <conditionalFormatting sqref="C12:C13">
    <cfRule type="duplicateValues" dxfId="3464" priority="7337"/>
  </conditionalFormatting>
  <conditionalFormatting sqref="C12:C13">
    <cfRule type="duplicateValues" dxfId="3463" priority="7335" stopIfTrue="1"/>
    <cfRule type="duplicateValues" dxfId="3462" priority="7336"/>
  </conditionalFormatting>
  <conditionalFormatting sqref="C12:C13">
    <cfRule type="duplicateValues" dxfId="3461" priority="7334"/>
  </conditionalFormatting>
  <conditionalFormatting sqref="C12:C13">
    <cfRule type="duplicateValues" dxfId="3460" priority="7333"/>
  </conditionalFormatting>
  <conditionalFormatting sqref="C12:C13">
    <cfRule type="duplicateValues" dxfId="3459" priority="7332"/>
  </conditionalFormatting>
  <conditionalFormatting sqref="C12:C13">
    <cfRule type="duplicateValues" dxfId="3458" priority="7331"/>
  </conditionalFormatting>
  <conditionalFormatting sqref="C12:C13">
    <cfRule type="duplicateValues" dxfId="3457" priority="7330"/>
  </conditionalFormatting>
  <conditionalFormatting sqref="C12:C13">
    <cfRule type="duplicateValues" dxfId="3456" priority="7329"/>
  </conditionalFormatting>
  <conditionalFormatting sqref="C12:C13">
    <cfRule type="duplicateValues" dxfId="3455" priority="7327" stopIfTrue="1"/>
    <cfRule type="duplicateValues" dxfId="3454" priority="7328"/>
  </conditionalFormatting>
  <conditionalFormatting sqref="C12:C13">
    <cfRule type="duplicateValues" dxfId="3453" priority="7326"/>
  </conditionalFormatting>
  <conditionalFormatting sqref="C12:C13">
    <cfRule type="duplicateValues" dxfId="3452" priority="7324" stopIfTrue="1"/>
    <cfRule type="duplicateValues" dxfId="3451" priority="7325"/>
  </conditionalFormatting>
  <conditionalFormatting sqref="C12:C13">
    <cfRule type="duplicateValues" dxfId="3450" priority="7323"/>
  </conditionalFormatting>
  <conditionalFormatting sqref="C12:C13">
    <cfRule type="duplicateValues" dxfId="3449" priority="7321" stopIfTrue="1"/>
    <cfRule type="duplicateValues" dxfId="3448" priority="7322"/>
  </conditionalFormatting>
  <conditionalFormatting sqref="C12:C13">
    <cfRule type="duplicateValues" dxfId="3447" priority="7320"/>
  </conditionalFormatting>
  <conditionalFormatting sqref="C12:C13">
    <cfRule type="duplicateValues" dxfId="3446" priority="7318" stopIfTrue="1"/>
    <cfRule type="duplicateValues" dxfId="3445" priority="7319"/>
  </conditionalFormatting>
  <conditionalFormatting sqref="C12:C13">
    <cfRule type="duplicateValues" dxfId="3444" priority="7317"/>
  </conditionalFormatting>
  <conditionalFormatting sqref="C12:C13">
    <cfRule type="duplicateValues" dxfId="3443" priority="7315" stopIfTrue="1"/>
    <cfRule type="duplicateValues" dxfId="3442" priority="7316"/>
  </conditionalFormatting>
  <conditionalFormatting sqref="C12:C13">
    <cfRule type="duplicateValues" dxfId="3441" priority="7314"/>
  </conditionalFormatting>
  <conditionalFormatting sqref="C12:C13">
    <cfRule type="duplicateValues" dxfId="3440" priority="7313"/>
  </conditionalFormatting>
  <conditionalFormatting sqref="C12:C13">
    <cfRule type="duplicateValues" dxfId="3439" priority="7312"/>
  </conditionalFormatting>
  <conditionalFormatting sqref="C12:C13">
    <cfRule type="duplicateValues" dxfId="3438" priority="7311"/>
  </conditionalFormatting>
  <conditionalFormatting sqref="C12:C13">
    <cfRule type="duplicateValues" dxfId="3437" priority="7310"/>
  </conditionalFormatting>
  <conditionalFormatting sqref="C12:C13">
    <cfRule type="duplicateValues" dxfId="3436" priority="7309"/>
  </conditionalFormatting>
  <conditionalFormatting sqref="C12:C13">
    <cfRule type="duplicateValues" dxfId="3435" priority="7308"/>
  </conditionalFormatting>
  <conditionalFormatting sqref="C12:C13">
    <cfRule type="duplicateValues" dxfId="3434" priority="7307"/>
  </conditionalFormatting>
  <conditionalFormatting sqref="C12:C13">
    <cfRule type="duplicateValues" dxfId="3433" priority="7306"/>
  </conditionalFormatting>
  <conditionalFormatting sqref="C12:C13">
    <cfRule type="duplicateValues" dxfId="3432" priority="7305"/>
  </conditionalFormatting>
  <conditionalFormatting sqref="C12:C13">
    <cfRule type="duplicateValues" dxfId="3431" priority="7304"/>
  </conditionalFormatting>
  <conditionalFormatting sqref="C12:C13">
    <cfRule type="duplicateValues" dxfId="3430" priority="7303"/>
  </conditionalFormatting>
  <conditionalFormatting sqref="C12:C13">
    <cfRule type="duplicateValues" dxfId="3429" priority="7302"/>
  </conditionalFormatting>
  <conditionalFormatting sqref="C12:C13">
    <cfRule type="duplicateValues" dxfId="3428" priority="7301"/>
  </conditionalFormatting>
  <conditionalFormatting sqref="C12:C13">
    <cfRule type="duplicateValues" dxfId="3427" priority="7300"/>
  </conditionalFormatting>
  <conditionalFormatting sqref="C12:C13">
    <cfRule type="duplicateValues" dxfId="3426" priority="7299"/>
  </conditionalFormatting>
  <conditionalFormatting sqref="C12:C13">
    <cfRule type="duplicateValues" dxfId="3425" priority="7298"/>
  </conditionalFormatting>
  <conditionalFormatting sqref="C12:C13">
    <cfRule type="duplicateValues" dxfId="3424" priority="7297"/>
  </conditionalFormatting>
  <conditionalFormatting sqref="C12:C13">
    <cfRule type="duplicateValues" dxfId="3423" priority="7296"/>
  </conditionalFormatting>
  <conditionalFormatting sqref="C12:C13">
    <cfRule type="duplicateValues" dxfId="3422" priority="7295"/>
  </conditionalFormatting>
  <conditionalFormatting sqref="C12:C13">
    <cfRule type="duplicateValues" dxfId="3421" priority="7294"/>
  </conditionalFormatting>
  <conditionalFormatting sqref="C12:C13">
    <cfRule type="duplicateValues" dxfId="3420" priority="7293"/>
  </conditionalFormatting>
  <conditionalFormatting sqref="C12:C13">
    <cfRule type="duplicateValues" dxfId="3419" priority="7292"/>
  </conditionalFormatting>
  <conditionalFormatting sqref="C12:C13">
    <cfRule type="duplicateValues" dxfId="3418" priority="7291"/>
  </conditionalFormatting>
  <conditionalFormatting sqref="C12:C13">
    <cfRule type="duplicateValues" dxfId="3417" priority="7290"/>
  </conditionalFormatting>
  <conditionalFormatting sqref="C12:C13">
    <cfRule type="duplicateValues" dxfId="3416" priority="7289"/>
  </conditionalFormatting>
  <conditionalFormatting sqref="C12:C13">
    <cfRule type="duplicateValues" dxfId="3415" priority="7288"/>
  </conditionalFormatting>
  <conditionalFormatting sqref="C12:C13">
    <cfRule type="duplicateValues" dxfId="3414" priority="7287"/>
  </conditionalFormatting>
  <conditionalFormatting sqref="C12:C13">
    <cfRule type="duplicateValues" dxfId="3413" priority="7286"/>
  </conditionalFormatting>
  <conditionalFormatting sqref="C12:C13">
    <cfRule type="duplicateValues" dxfId="3412" priority="7285"/>
  </conditionalFormatting>
  <conditionalFormatting sqref="C12:C13">
    <cfRule type="duplicateValues" dxfId="3411" priority="7284"/>
  </conditionalFormatting>
  <conditionalFormatting sqref="C12:C13">
    <cfRule type="duplicateValues" dxfId="3410" priority="7283"/>
  </conditionalFormatting>
  <conditionalFormatting sqref="C12:C13">
    <cfRule type="duplicateValues" dxfId="3409" priority="7282"/>
  </conditionalFormatting>
  <conditionalFormatting sqref="C12:C13">
    <cfRule type="duplicateValues" dxfId="3408" priority="7281"/>
  </conditionalFormatting>
  <conditionalFormatting sqref="C12:C13">
    <cfRule type="duplicateValues" dxfId="3407" priority="7280"/>
  </conditionalFormatting>
  <conditionalFormatting sqref="C12:C13">
    <cfRule type="duplicateValues" dxfId="3406" priority="7279"/>
  </conditionalFormatting>
  <conditionalFormatting sqref="C12:C13">
    <cfRule type="duplicateValues" dxfId="3405" priority="7278"/>
  </conditionalFormatting>
  <conditionalFormatting sqref="C12:C13">
    <cfRule type="duplicateValues" dxfId="3404" priority="7277"/>
  </conditionalFormatting>
  <conditionalFormatting sqref="C12:C13">
    <cfRule type="duplicateValues" dxfId="3403" priority="7276"/>
  </conditionalFormatting>
  <conditionalFormatting sqref="C12:C13">
    <cfRule type="duplicateValues" dxfId="3402" priority="7275"/>
  </conditionalFormatting>
  <conditionalFormatting sqref="C12:C13">
    <cfRule type="duplicateValues" dxfId="3401" priority="7273" stopIfTrue="1"/>
    <cfRule type="duplicateValues" dxfId="3400" priority="7274"/>
  </conditionalFormatting>
  <conditionalFormatting sqref="C12:C13">
    <cfRule type="duplicateValues" dxfId="3399" priority="7272"/>
  </conditionalFormatting>
  <conditionalFormatting sqref="C12:C13">
    <cfRule type="duplicateValues" dxfId="3398" priority="7271"/>
  </conditionalFormatting>
  <conditionalFormatting sqref="C12:C13">
    <cfRule type="duplicateValues" dxfId="3397" priority="7270"/>
  </conditionalFormatting>
  <conditionalFormatting sqref="C12:C13">
    <cfRule type="duplicateValues" dxfId="3396" priority="7269"/>
  </conditionalFormatting>
  <conditionalFormatting sqref="C12:C13">
    <cfRule type="duplicateValues" dxfId="3395" priority="7267" stopIfTrue="1"/>
    <cfRule type="duplicateValues" dxfId="3394" priority="7268"/>
  </conditionalFormatting>
  <conditionalFormatting sqref="C12:C13">
    <cfRule type="duplicateValues" dxfId="3393" priority="7266"/>
  </conditionalFormatting>
  <conditionalFormatting sqref="C12:C13">
    <cfRule type="duplicateValues" dxfId="3392" priority="7264" stopIfTrue="1"/>
    <cfRule type="duplicateValues" dxfId="3391" priority="7265"/>
  </conditionalFormatting>
  <conditionalFormatting sqref="C12:C13">
    <cfRule type="duplicateValues" dxfId="3390" priority="7263"/>
  </conditionalFormatting>
  <conditionalFormatting sqref="C12:C13">
    <cfRule type="duplicateValues" dxfId="3389" priority="7261" stopIfTrue="1"/>
    <cfRule type="duplicateValues" dxfId="3388" priority="7262"/>
  </conditionalFormatting>
  <conditionalFormatting sqref="C12:C13">
    <cfRule type="duplicateValues" dxfId="3387" priority="7260"/>
  </conditionalFormatting>
  <conditionalFormatting sqref="C12:C13">
    <cfRule type="duplicateValues" dxfId="3386" priority="7258" stopIfTrue="1"/>
    <cfRule type="duplicateValues" dxfId="3385" priority="7259"/>
  </conditionalFormatting>
  <conditionalFormatting sqref="C12:C13">
    <cfRule type="duplicateValues" dxfId="3384" priority="7257"/>
  </conditionalFormatting>
  <conditionalFormatting sqref="C12:C13">
    <cfRule type="duplicateValues" dxfId="3383" priority="7255" stopIfTrue="1"/>
    <cfRule type="duplicateValues" dxfId="3382" priority="7256"/>
  </conditionalFormatting>
  <conditionalFormatting sqref="C12:C13">
    <cfRule type="duplicateValues" dxfId="3381" priority="7254"/>
  </conditionalFormatting>
  <conditionalFormatting sqref="C12:C13">
    <cfRule type="duplicateValues" dxfId="3380" priority="7253"/>
  </conditionalFormatting>
  <conditionalFormatting sqref="C12:C13">
    <cfRule type="duplicateValues" dxfId="3379" priority="7252"/>
  </conditionalFormatting>
  <conditionalFormatting sqref="C12:C13">
    <cfRule type="duplicateValues" dxfId="3378" priority="7251"/>
  </conditionalFormatting>
  <conditionalFormatting sqref="C12:C13">
    <cfRule type="duplicateValues" dxfId="3377" priority="7250"/>
  </conditionalFormatting>
  <conditionalFormatting sqref="C12:C13">
    <cfRule type="duplicateValues" dxfId="3376" priority="7249"/>
  </conditionalFormatting>
  <conditionalFormatting sqref="C12:C13">
    <cfRule type="duplicateValues" dxfId="3375" priority="7248"/>
  </conditionalFormatting>
  <conditionalFormatting sqref="C12:C13">
    <cfRule type="duplicateValues" dxfId="3374" priority="7247"/>
  </conditionalFormatting>
  <conditionalFormatting sqref="C12:C13">
    <cfRule type="duplicateValues" dxfId="3373" priority="7246"/>
  </conditionalFormatting>
  <conditionalFormatting sqref="C12:C13">
    <cfRule type="duplicateValues" dxfId="3372" priority="7245"/>
  </conditionalFormatting>
  <conditionalFormatting sqref="C12:C13">
    <cfRule type="duplicateValues" dxfId="3371" priority="7244"/>
  </conditionalFormatting>
  <conditionalFormatting sqref="C12:C13">
    <cfRule type="duplicateValues" dxfId="3370" priority="7243"/>
  </conditionalFormatting>
  <conditionalFormatting sqref="C12:C13">
    <cfRule type="duplicateValues" dxfId="3369" priority="7242"/>
  </conditionalFormatting>
  <conditionalFormatting sqref="C12:C13">
    <cfRule type="duplicateValues" dxfId="3368" priority="7241"/>
  </conditionalFormatting>
  <conditionalFormatting sqref="C12:C13">
    <cfRule type="duplicateValues" dxfId="3367" priority="7240"/>
  </conditionalFormatting>
  <conditionalFormatting sqref="C12:C13">
    <cfRule type="duplicateValues" dxfId="3366" priority="7239"/>
  </conditionalFormatting>
  <conditionalFormatting sqref="C12:C13">
    <cfRule type="duplicateValues" dxfId="3365" priority="7238"/>
  </conditionalFormatting>
  <conditionalFormatting sqref="C12:C13">
    <cfRule type="duplicateValues" dxfId="3364" priority="7237"/>
  </conditionalFormatting>
  <conditionalFormatting sqref="C12:C13">
    <cfRule type="duplicateValues" dxfId="3363" priority="7236"/>
  </conditionalFormatting>
  <conditionalFormatting sqref="C12:C13">
    <cfRule type="duplicateValues" dxfId="3362" priority="7235"/>
  </conditionalFormatting>
  <conditionalFormatting sqref="C12:C13">
    <cfRule type="duplicateValues" dxfId="3361" priority="7234"/>
  </conditionalFormatting>
  <conditionalFormatting sqref="C12:C13">
    <cfRule type="duplicateValues" dxfId="3360" priority="7233"/>
  </conditionalFormatting>
  <conditionalFormatting sqref="C12:C13">
    <cfRule type="duplicateValues" dxfId="3359" priority="7232"/>
  </conditionalFormatting>
  <conditionalFormatting sqref="C12:C13">
    <cfRule type="duplicateValues" dxfId="3358" priority="7231"/>
  </conditionalFormatting>
  <conditionalFormatting sqref="C12:C13">
    <cfRule type="duplicateValues" dxfId="3357" priority="7230"/>
  </conditionalFormatting>
  <conditionalFormatting sqref="C12:C13">
    <cfRule type="duplicateValues" dxfId="3356" priority="7229"/>
  </conditionalFormatting>
  <conditionalFormatting sqref="C12:C13">
    <cfRule type="duplicateValues" dxfId="3355" priority="7228"/>
  </conditionalFormatting>
  <conditionalFormatting sqref="C12:C13">
    <cfRule type="duplicateValues" dxfId="3354" priority="7227"/>
  </conditionalFormatting>
  <conditionalFormatting sqref="C12:C13">
    <cfRule type="duplicateValues" dxfId="3353" priority="7226"/>
  </conditionalFormatting>
  <conditionalFormatting sqref="C12:C13">
    <cfRule type="duplicateValues" dxfId="3352" priority="7225"/>
  </conditionalFormatting>
  <conditionalFormatting sqref="C12:C13">
    <cfRule type="duplicateValues" dxfId="3351" priority="7224"/>
  </conditionalFormatting>
  <conditionalFormatting sqref="C12:C13">
    <cfRule type="duplicateValues" dxfId="3350" priority="7223"/>
  </conditionalFormatting>
  <conditionalFormatting sqref="C12:C13">
    <cfRule type="duplicateValues" dxfId="3349" priority="7222"/>
  </conditionalFormatting>
  <conditionalFormatting sqref="C12:C13">
    <cfRule type="duplicateValues" dxfId="3348" priority="7221"/>
  </conditionalFormatting>
  <conditionalFormatting sqref="C12:C13">
    <cfRule type="duplicateValues" dxfId="3347" priority="7220"/>
  </conditionalFormatting>
  <conditionalFormatting sqref="C12:C13">
    <cfRule type="duplicateValues" dxfId="3346" priority="7219"/>
  </conditionalFormatting>
  <conditionalFormatting sqref="C12:C13">
    <cfRule type="duplicateValues" dxfId="3345" priority="7218"/>
  </conditionalFormatting>
  <conditionalFormatting sqref="C12:C13">
    <cfRule type="duplicateValues" dxfId="3344" priority="7217"/>
  </conditionalFormatting>
  <conditionalFormatting sqref="C12:C13">
    <cfRule type="duplicateValues" dxfId="3343" priority="7216"/>
  </conditionalFormatting>
  <conditionalFormatting sqref="C12:C13">
    <cfRule type="duplicateValues" dxfId="3342" priority="7215"/>
  </conditionalFormatting>
  <conditionalFormatting sqref="C12:C13">
    <cfRule type="duplicateValues" dxfId="3341" priority="7213" stopIfTrue="1"/>
    <cfRule type="duplicateValues" dxfId="3340" priority="7214"/>
  </conditionalFormatting>
  <conditionalFormatting sqref="C12:C13">
    <cfRule type="duplicateValues" dxfId="3339" priority="7212"/>
  </conditionalFormatting>
  <conditionalFormatting sqref="C12:C13">
    <cfRule type="duplicateValues" dxfId="3338" priority="7211"/>
  </conditionalFormatting>
  <conditionalFormatting sqref="C12:C13">
    <cfRule type="duplicateValues" dxfId="3337" priority="7210"/>
  </conditionalFormatting>
  <conditionalFormatting sqref="C12:C13">
    <cfRule type="duplicateValues" dxfId="3336" priority="7209"/>
  </conditionalFormatting>
  <conditionalFormatting sqref="C12:C13">
    <cfRule type="duplicateValues" dxfId="3335" priority="7207" stopIfTrue="1"/>
    <cfRule type="duplicateValues" dxfId="3334" priority="7208"/>
  </conditionalFormatting>
  <conditionalFormatting sqref="C11:C12">
    <cfRule type="duplicateValues" dxfId="3333" priority="7206"/>
  </conditionalFormatting>
  <conditionalFormatting sqref="C11:C12">
    <cfRule type="duplicateValues" dxfId="3332" priority="7204" stopIfTrue="1"/>
    <cfRule type="duplicateValues" dxfId="3331" priority="7205"/>
  </conditionalFormatting>
  <conditionalFormatting sqref="C8">
    <cfRule type="duplicateValues" dxfId="3330" priority="7179"/>
  </conditionalFormatting>
  <conditionalFormatting sqref="C8">
    <cfRule type="duplicateValues" dxfId="3329" priority="7178"/>
  </conditionalFormatting>
  <conditionalFormatting sqref="C8">
    <cfRule type="duplicateValues" dxfId="3328" priority="7177"/>
  </conditionalFormatting>
  <conditionalFormatting sqref="C8">
    <cfRule type="duplicateValues" dxfId="3327" priority="7176"/>
  </conditionalFormatting>
  <conditionalFormatting sqref="C8">
    <cfRule type="duplicateValues" dxfId="3326" priority="7175"/>
  </conditionalFormatting>
  <conditionalFormatting sqref="C8">
    <cfRule type="duplicateValues" dxfId="3325" priority="7174"/>
  </conditionalFormatting>
  <conditionalFormatting sqref="C8">
    <cfRule type="duplicateValues" dxfId="3324" priority="7173"/>
  </conditionalFormatting>
  <conditionalFormatting sqref="C8">
    <cfRule type="duplicateValues" dxfId="3323" priority="7172"/>
  </conditionalFormatting>
  <conditionalFormatting sqref="C8">
    <cfRule type="duplicateValues" dxfId="3322" priority="7171"/>
  </conditionalFormatting>
  <conditionalFormatting sqref="C8">
    <cfRule type="duplicateValues" dxfId="3321" priority="7170"/>
  </conditionalFormatting>
  <conditionalFormatting sqref="C8">
    <cfRule type="duplicateValues" dxfId="3320" priority="7169"/>
  </conditionalFormatting>
  <conditionalFormatting sqref="C8">
    <cfRule type="duplicateValues" dxfId="3319" priority="7168"/>
  </conditionalFormatting>
  <conditionalFormatting sqref="C8">
    <cfRule type="duplicateValues" dxfId="3318" priority="7167"/>
  </conditionalFormatting>
  <conditionalFormatting sqref="C8">
    <cfRule type="duplicateValues" dxfId="3317" priority="7166"/>
  </conditionalFormatting>
  <conditionalFormatting sqref="C8">
    <cfRule type="duplicateValues" dxfId="3316" priority="7165"/>
  </conditionalFormatting>
  <conditionalFormatting sqref="C8">
    <cfRule type="duplicateValues" dxfId="3315" priority="7164"/>
  </conditionalFormatting>
  <conditionalFormatting sqref="C8">
    <cfRule type="duplicateValues" dxfId="3314" priority="7163"/>
  </conditionalFormatting>
  <conditionalFormatting sqref="C8">
    <cfRule type="duplicateValues" dxfId="3313" priority="7162"/>
  </conditionalFormatting>
  <conditionalFormatting sqref="C8">
    <cfRule type="duplicateValues" dxfId="3312" priority="7160" stopIfTrue="1"/>
    <cfRule type="duplicateValues" dxfId="3311" priority="7161"/>
  </conditionalFormatting>
  <conditionalFormatting sqref="C8">
    <cfRule type="duplicateValues" dxfId="3310" priority="7159"/>
  </conditionalFormatting>
  <conditionalFormatting sqref="C8">
    <cfRule type="duplicateValues" dxfId="3309" priority="7157" stopIfTrue="1"/>
    <cfRule type="duplicateValues" dxfId="3308" priority="7158"/>
  </conditionalFormatting>
  <conditionalFormatting sqref="C8">
    <cfRule type="duplicateValues" dxfId="3307" priority="7156"/>
  </conditionalFormatting>
  <conditionalFormatting sqref="C8">
    <cfRule type="duplicateValues" dxfId="3306" priority="7154" stopIfTrue="1"/>
    <cfRule type="duplicateValues" dxfId="3305" priority="7155"/>
  </conditionalFormatting>
  <conditionalFormatting sqref="C8">
    <cfRule type="duplicateValues" dxfId="3304" priority="7153"/>
  </conditionalFormatting>
  <conditionalFormatting sqref="C8">
    <cfRule type="duplicateValues" dxfId="3303" priority="7151" stopIfTrue="1"/>
    <cfRule type="duplicateValues" dxfId="3302" priority="7152"/>
  </conditionalFormatting>
  <conditionalFormatting sqref="C8">
    <cfRule type="duplicateValues" dxfId="3301" priority="7150"/>
  </conditionalFormatting>
  <conditionalFormatting sqref="C8">
    <cfRule type="duplicateValues" dxfId="3300" priority="7148" stopIfTrue="1"/>
    <cfRule type="duplicateValues" dxfId="3299" priority="7149"/>
  </conditionalFormatting>
  <conditionalFormatting sqref="C8">
    <cfRule type="duplicateValues" dxfId="3298" priority="7147"/>
  </conditionalFormatting>
  <conditionalFormatting sqref="C8">
    <cfRule type="duplicateValues" dxfId="3297" priority="7145" stopIfTrue="1"/>
    <cfRule type="duplicateValues" dxfId="3296" priority="7146"/>
  </conditionalFormatting>
  <conditionalFormatting sqref="C8">
    <cfRule type="duplicateValues" dxfId="3295" priority="7144"/>
  </conditionalFormatting>
  <conditionalFormatting sqref="C8">
    <cfRule type="duplicateValues" dxfId="3294" priority="7142" stopIfTrue="1"/>
    <cfRule type="duplicateValues" dxfId="3293" priority="7143"/>
  </conditionalFormatting>
  <conditionalFormatting sqref="C8">
    <cfRule type="duplicateValues" dxfId="3292" priority="7141"/>
  </conditionalFormatting>
  <conditionalFormatting sqref="C8">
    <cfRule type="duplicateValues" dxfId="3291" priority="7140"/>
  </conditionalFormatting>
  <conditionalFormatting sqref="C8">
    <cfRule type="duplicateValues" dxfId="3290" priority="7139"/>
  </conditionalFormatting>
  <conditionalFormatting sqref="C8">
    <cfRule type="duplicateValues" dxfId="3289" priority="7138"/>
  </conditionalFormatting>
  <conditionalFormatting sqref="C8">
    <cfRule type="duplicateValues" dxfId="3288" priority="7136" stopIfTrue="1"/>
    <cfRule type="duplicateValues" dxfId="3287" priority="7137"/>
  </conditionalFormatting>
  <conditionalFormatting sqref="C8">
    <cfRule type="duplicateValues" dxfId="3286" priority="7135"/>
  </conditionalFormatting>
  <conditionalFormatting sqref="C8">
    <cfRule type="duplicateValues" dxfId="3285" priority="7134"/>
  </conditionalFormatting>
  <conditionalFormatting sqref="C8">
    <cfRule type="duplicateValues" dxfId="3284" priority="7132" stopIfTrue="1"/>
    <cfRule type="duplicateValues" dxfId="3283" priority="7133"/>
  </conditionalFormatting>
  <conditionalFormatting sqref="C8">
    <cfRule type="duplicateValues" dxfId="3282" priority="7131"/>
  </conditionalFormatting>
  <conditionalFormatting sqref="C8">
    <cfRule type="duplicateValues" dxfId="3281" priority="7129" stopIfTrue="1"/>
    <cfRule type="duplicateValues" dxfId="3280" priority="7130"/>
  </conditionalFormatting>
  <conditionalFormatting sqref="C8">
    <cfRule type="duplicateValues" dxfId="3279" priority="7128"/>
  </conditionalFormatting>
  <conditionalFormatting sqref="C8">
    <cfRule type="duplicateValues" dxfId="3278" priority="7126" stopIfTrue="1"/>
    <cfRule type="duplicateValues" dxfId="3277" priority="7127"/>
  </conditionalFormatting>
  <conditionalFormatting sqref="C8">
    <cfRule type="duplicateValues" dxfId="3276" priority="7125"/>
  </conditionalFormatting>
  <conditionalFormatting sqref="C8">
    <cfRule type="duplicateValues" dxfId="3275" priority="7123" stopIfTrue="1"/>
    <cfRule type="duplicateValues" dxfId="3274" priority="7124"/>
  </conditionalFormatting>
  <conditionalFormatting sqref="C8">
    <cfRule type="duplicateValues" dxfId="3273" priority="7122"/>
  </conditionalFormatting>
  <conditionalFormatting sqref="C8">
    <cfRule type="duplicateValues" dxfId="3272" priority="7120" stopIfTrue="1"/>
    <cfRule type="duplicateValues" dxfId="3271" priority="7121"/>
  </conditionalFormatting>
  <conditionalFormatting sqref="C8">
    <cfRule type="duplicateValues" dxfId="3270" priority="7119"/>
  </conditionalFormatting>
  <conditionalFormatting sqref="C8">
    <cfRule type="duplicateValues" dxfId="3269" priority="7118"/>
  </conditionalFormatting>
  <conditionalFormatting sqref="C8">
    <cfRule type="duplicateValues" dxfId="3268" priority="7117"/>
  </conditionalFormatting>
  <conditionalFormatting sqref="C8">
    <cfRule type="duplicateValues" dxfId="3267" priority="7116"/>
  </conditionalFormatting>
  <conditionalFormatting sqref="C8">
    <cfRule type="duplicateValues" dxfId="3266" priority="7115"/>
  </conditionalFormatting>
  <conditionalFormatting sqref="C8">
    <cfRule type="duplicateValues" dxfId="3265" priority="7114"/>
  </conditionalFormatting>
  <conditionalFormatting sqref="C8">
    <cfRule type="duplicateValues" dxfId="3264" priority="7113"/>
  </conditionalFormatting>
  <conditionalFormatting sqref="C8">
    <cfRule type="duplicateValues" dxfId="3263" priority="7112"/>
  </conditionalFormatting>
  <conditionalFormatting sqref="C8">
    <cfRule type="duplicateValues" dxfId="3262" priority="7111"/>
  </conditionalFormatting>
  <conditionalFormatting sqref="C8">
    <cfRule type="duplicateValues" dxfId="3261" priority="7110"/>
  </conditionalFormatting>
  <conditionalFormatting sqref="C8">
    <cfRule type="duplicateValues" dxfId="3260" priority="7109"/>
  </conditionalFormatting>
  <conditionalFormatting sqref="C8">
    <cfRule type="duplicateValues" dxfId="3259" priority="7108"/>
  </conditionalFormatting>
  <conditionalFormatting sqref="C8">
    <cfRule type="duplicateValues" dxfId="3258" priority="7106" stopIfTrue="1"/>
    <cfRule type="duplicateValues" dxfId="3257" priority="7107"/>
  </conditionalFormatting>
  <conditionalFormatting sqref="C8">
    <cfRule type="duplicateValues" dxfId="3256" priority="7105"/>
  </conditionalFormatting>
  <conditionalFormatting sqref="C8">
    <cfRule type="duplicateValues" dxfId="3255" priority="7103" stopIfTrue="1"/>
    <cfRule type="duplicateValues" dxfId="3254" priority="7104"/>
  </conditionalFormatting>
  <conditionalFormatting sqref="C8">
    <cfRule type="duplicateValues" dxfId="3253" priority="7102"/>
  </conditionalFormatting>
  <conditionalFormatting sqref="C8">
    <cfRule type="duplicateValues" dxfId="3252" priority="7100" stopIfTrue="1"/>
    <cfRule type="duplicateValues" dxfId="3251" priority="7101"/>
  </conditionalFormatting>
  <conditionalFormatting sqref="C8">
    <cfRule type="duplicateValues" dxfId="3250" priority="7099"/>
  </conditionalFormatting>
  <conditionalFormatting sqref="C8">
    <cfRule type="duplicateValues" dxfId="3249" priority="7097" stopIfTrue="1"/>
    <cfRule type="duplicateValues" dxfId="3248" priority="7098"/>
  </conditionalFormatting>
  <conditionalFormatting sqref="C8">
    <cfRule type="duplicateValues" dxfId="3247" priority="7096"/>
  </conditionalFormatting>
  <conditionalFormatting sqref="C8">
    <cfRule type="duplicateValues" dxfId="3246" priority="7094" stopIfTrue="1"/>
    <cfRule type="duplicateValues" dxfId="3245" priority="7095"/>
  </conditionalFormatting>
  <conditionalFormatting sqref="C8">
    <cfRule type="duplicateValues" dxfId="3244" priority="7093"/>
  </conditionalFormatting>
  <conditionalFormatting sqref="C8">
    <cfRule type="duplicateValues" dxfId="3243" priority="7092"/>
  </conditionalFormatting>
  <conditionalFormatting sqref="C8">
    <cfRule type="duplicateValues" dxfId="3242" priority="7091"/>
  </conditionalFormatting>
  <conditionalFormatting sqref="C8">
    <cfRule type="duplicateValues" dxfId="3241" priority="7090"/>
  </conditionalFormatting>
  <conditionalFormatting sqref="C8">
    <cfRule type="duplicateValues" dxfId="3240" priority="7089"/>
  </conditionalFormatting>
  <conditionalFormatting sqref="C8">
    <cfRule type="duplicateValues" dxfId="3239" priority="7088"/>
  </conditionalFormatting>
  <conditionalFormatting sqref="C8">
    <cfRule type="duplicateValues" dxfId="3238" priority="7086" stopIfTrue="1"/>
    <cfRule type="duplicateValues" dxfId="3237" priority="7087"/>
  </conditionalFormatting>
  <conditionalFormatting sqref="C8">
    <cfRule type="duplicateValues" dxfId="3236" priority="7085"/>
  </conditionalFormatting>
  <conditionalFormatting sqref="C8">
    <cfRule type="duplicateValues" dxfId="3235" priority="7083" stopIfTrue="1"/>
    <cfRule type="duplicateValues" dxfId="3234" priority="7084"/>
  </conditionalFormatting>
  <conditionalFormatting sqref="C8">
    <cfRule type="duplicateValues" dxfId="3233" priority="7082"/>
  </conditionalFormatting>
  <conditionalFormatting sqref="C8">
    <cfRule type="duplicateValues" dxfId="3232" priority="7080" stopIfTrue="1"/>
    <cfRule type="duplicateValues" dxfId="3231" priority="7081"/>
  </conditionalFormatting>
  <conditionalFormatting sqref="C8">
    <cfRule type="duplicateValues" dxfId="3230" priority="7079"/>
  </conditionalFormatting>
  <conditionalFormatting sqref="C8">
    <cfRule type="duplicateValues" dxfId="3229" priority="7077" stopIfTrue="1"/>
    <cfRule type="duplicateValues" dxfId="3228" priority="7078"/>
  </conditionalFormatting>
  <conditionalFormatting sqref="C8">
    <cfRule type="duplicateValues" dxfId="3227" priority="7076"/>
  </conditionalFormatting>
  <conditionalFormatting sqref="C8">
    <cfRule type="duplicateValues" dxfId="3226" priority="7074" stopIfTrue="1"/>
    <cfRule type="duplicateValues" dxfId="3225" priority="7075"/>
  </conditionalFormatting>
  <conditionalFormatting sqref="C8">
    <cfRule type="duplicateValues" dxfId="3224" priority="7073"/>
  </conditionalFormatting>
  <conditionalFormatting sqref="C8">
    <cfRule type="duplicateValues" dxfId="3223" priority="7072"/>
  </conditionalFormatting>
  <conditionalFormatting sqref="C8">
    <cfRule type="duplicateValues" dxfId="3222" priority="7071"/>
  </conditionalFormatting>
  <conditionalFormatting sqref="C8">
    <cfRule type="duplicateValues" dxfId="3221" priority="7070"/>
  </conditionalFormatting>
  <conditionalFormatting sqref="C8">
    <cfRule type="duplicateValues" dxfId="3220" priority="7069"/>
  </conditionalFormatting>
  <conditionalFormatting sqref="C8">
    <cfRule type="duplicateValues" dxfId="3219" priority="7068"/>
  </conditionalFormatting>
  <conditionalFormatting sqref="C8">
    <cfRule type="duplicateValues" dxfId="3218" priority="7066" stopIfTrue="1"/>
    <cfRule type="duplicateValues" dxfId="3217" priority="7067"/>
  </conditionalFormatting>
  <conditionalFormatting sqref="C8">
    <cfRule type="duplicateValues" dxfId="3216" priority="7065"/>
  </conditionalFormatting>
  <conditionalFormatting sqref="C8">
    <cfRule type="duplicateValues" dxfId="3215" priority="7063" stopIfTrue="1"/>
    <cfRule type="duplicateValues" dxfId="3214" priority="7064"/>
  </conditionalFormatting>
  <conditionalFormatting sqref="C8">
    <cfRule type="duplicateValues" dxfId="3213" priority="7062"/>
  </conditionalFormatting>
  <conditionalFormatting sqref="C8">
    <cfRule type="duplicateValues" dxfId="3212" priority="7060" stopIfTrue="1"/>
    <cfRule type="duplicateValues" dxfId="3211" priority="7061"/>
  </conditionalFormatting>
  <conditionalFormatting sqref="C8">
    <cfRule type="duplicateValues" dxfId="3210" priority="7059"/>
  </conditionalFormatting>
  <conditionalFormatting sqref="C8">
    <cfRule type="duplicateValues" dxfId="3209" priority="7057" stopIfTrue="1"/>
    <cfRule type="duplicateValues" dxfId="3208" priority="7058"/>
  </conditionalFormatting>
  <conditionalFormatting sqref="C8">
    <cfRule type="duplicateValues" dxfId="3207" priority="7056"/>
  </conditionalFormatting>
  <conditionalFormatting sqref="C8">
    <cfRule type="duplicateValues" dxfId="3206" priority="7054" stopIfTrue="1"/>
    <cfRule type="duplicateValues" dxfId="3205" priority="7055"/>
  </conditionalFormatting>
  <conditionalFormatting sqref="C8">
    <cfRule type="duplicateValues" dxfId="3204" priority="7053"/>
  </conditionalFormatting>
  <conditionalFormatting sqref="C8">
    <cfRule type="duplicateValues" dxfId="3203" priority="7052"/>
  </conditionalFormatting>
  <conditionalFormatting sqref="C8">
    <cfRule type="duplicateValues" dxfId="3202" priority="7051"/>
  </conditionalFormatting>
  <conditionalFormatting sqref="C8">
    <cfRule type="duplicateValues" dxfId="3201" priority="7050"/>
  </conditionalFormatting>
  <conditionalFormatting sqref="C8">
    <cfRule type="duplicateValues" dxfId="3200" priority="7049"/>
  </conditionalFormatting>
  <conditionalFormatting sqref="C8">
    <cfRule type="duplicateValues" dxfId="3199" priority="7048"/>
  </conditionalFormatting>
  <conditionalFormatting sqref="C8">
    <cfRule type="duplicateValues" dxfId="3198" priority="7046" stopIfTrue="1"/>
    <cfRule type="duplicateValues" dxfId="3197" priority="7047"/>
  </conditionalFormatting>
  <conditionalFormatting sqref="C8">
    <cfRule type="duplicateValues" dxfId="3196" priority="7045"/>
  </conditionalFormatting>
  <conditionalFormatting sqref="C8">
    <cfRule type="duplicateValues" dxfId="3195" priority="7043" stopIfTrue="1"/>
    <cfRule type="duplicateValues" dxfId="3194" priority="7044"/>
  </conditionalFormatting>
  <conditionalFormatting sqref="C8">
    <cfRule type="duplicateValues" dxfId="3193" priority="7042"/>
  </conditionalFormatting>
  <conditionalFormatting sqref="C8">
    <cfRule type="duplicateValues" dxfId="3192" priority="7040" stopIfTrue="1"/>
    <cfRule type="duplicateValues" dxfId="3191" priority="7041"/>
  </conditionalFormatting>
  <conditionalFormatting sqref="C8">
    <cfRule type="duplicateValues" dxfId="3190" priority="7039"/>
  </conditionalFormatting>
  <conditionalFormatting sqref="C8">
    <cfRule type="duplicateValues" dxfId="3189" priority="7037" stopIfTrue="1"/>
    <cfRule type="duplicateValues" dxfId="3188" priority="7038"/>
  </conditionalFormatting>
  <conditionalFormatting sqref="C8">
    <cfRule type="duplicateValues" dxfId="3187" priority="7036"/>
  </conditionalFormatting>
  <conditionalFormatting sqref="C8">
    <cfRule type="duplicateValues" dxfId="3186" priority="7034" stopIfTrue="1"/>
    <cfRule type="duplicateValues" dxfId="3185" priority="7035"/>
  </conditionalFormatting>
  <conditionalFormatting sqref="C8">
    <cfRule type="duplicateValues" dxfId="3184" priority="7033"/>
  </conditionalFormatting>
  <conditionalFormatting sqref="C8">
    <cfRule type="duplicateValues" dxfId="3183" priority="7032"/>
  </conditionalFormatting>
  <conditionalFormatting sqref="C8">
    <cfRule type="duplicateValues" dxfId="3182" priority="7031"/>
  </conditionalFormatting>
  <conditionalFormatting sqref="C8">
    <cfRule type="duplicateValues" dxfId="3181" priority="7030"/>
  </conditionalFormatting>
  <conditionalFormatting sqref="C8">
    <cfRule type="duplicateValues" dxfId="3180" priority="7029"/>
  </conditionalFormatting>
  <conditionalFormatting sqref="C8">
    <cfRule type="duplicateValues" dxfId="3179" priority="7028"/>
  </conditionalFormatting>
  <conditionalFormatting sqref="C8">
    <cfRule type="duplicateValues" dxfId="3178" priority="7027"/>
  </conditionalFormatting>
  <conditionalFormatting sqref="C8">
    <cfRule type="duplicateValues" dxfId="3177" priority="7026"/>
  </conditionalFormatting>
  <conditionalFormatting sqref="C8">
    <cfRule type="duplicateValues" dxfId="3176" priority="7025"/>
  </conditionalFormatting>
  <conditionalFormatting sqref="C8">
    <cfRule type="duplicateValues" dxfId="3175" priority="7024"/>
  </conditionalFormatting>
  <conditionalFormatting sqref="C8">
    <cfRule type="duplicateValues" dxfId="3174" priority="7023"/>
  </conditionalFormatting>
  <conditionalFormatting sqref="C8">
    <cfRule type="duplicateValues" dxfId="3173" priority="7022"/>
  </conditionalFormatting>
  <conditionalFormatting sqref="C8">
    <cfRule type="duplicateValues" dxfId="3172" priority="7021"/>
  </conditionalFormatting>
  <conditionalFormatting sqref="C8">
    <cfRule type="duplicateValues" dxfId="3171" priority="7020"/>
  </conditionalFormatting>
  <conditionalFormatting sqref="C8">
    <cfRule type="duplicateValues" dxfId="3170" priority="7019"/>
  </conditionalFormatting>
  <conditionalFormatting sqref="C8">
    <cfRule type="duplicateValues" dxfId="3169" priority="7018"/>
  </conditionalFormatting>
  <conditionalFormatting sqref="C8">
    <cfRule type="duplicateValues" dxfId="3168" priority="7017"/>
  </conditionalFormatting>
  <conditionalFormatting sqref="C8">
    <cfRule type="duplicateValues" dxfId="3167" priority="7016"/>
  </conditionalFormatting>
  <conditionalFormatting sqref="C8">
    <cfRule type="duplicateValues" dxfId="3166" priority="7015"/>
  </conditionalFormatting>
  <conditionalFormatting sqref="C8">
    <cfRule type="duplicateValues" dxfId="3165" priority="7014"/>
  </conditionalFormatting>
  <conditionalFormatting sqref="C8">
    <cfRule type="duplicateValues" dxfId="3164" priority="7013"/>
  </conditionalFormatting>
  <conditionalFormatting sqref="C8">
    <cfRule type="duplicateValues" dxfId="3163" priority="7012"/>
  </conditionalFormatting>
  <conditionalFormatting sqref="C8">
    <cfRule type="duplicateValues" dxfId="3162" priority="7011"/>
  </conditionalFormatting>
  <conditionalFormatting sqref="C8">
    <cfRule type="duplicateValues" dxfId="3161" priority="7010"/>
  </conditionalFormatting>
  <conditionalFormatting sqref="C8">
    <cfRule type="duplicateValues" dxfId="3160" priority="7009"/>
  </conditionalFormatting>
  <conditionalFormatting sqref="C8">
    <cfRule type="duplicateValues" dxfId="3159" priority="7008"/>
  </conditionalFormatting>
  <conditionalFormatting sqref="C8">
    <cfRule type="duplicateValues" dxfId="3158" priority="7007"/>
  </conditionalFormatting>
  <conditionalFormatting sqref="C8">
    <cfRule type="duplicateValues" dxfId="3157" priority="7006"/>
  </conditionalFormatting>
  <conditionalFormatting sqref="C8">
    <cfRule type="duplicateValues" dxfId="3156" priority="7005"/>
  </conditionalFormatting>
  <conditionalFormatting sqref="C8">
    <cfRule type="duplicateValues" dxfId="3155" priority="7004"/>
  </conditionalFormatting>
  <conditionalFormatting sqref="C8">
    <cfRule type="duplicateValues" dxfId="3154" priority="7003"/>
  </conditionalFormatting>
  <conditionalFormatting sqref="C8">
    <cfRule type="duplicateValues" dxfId="3153" priority="7002"/>
  </conditionalFormatting>
  <conditionalFormatting sqref="C8">
    <cfRule type="duplicateValues" dxfId="3152" priority="7001"/>
  </conditionalFormatting>
  <conditionalFormatting sqref="C8">
    <cfRule type="duplicateValues" dxfId="3151" priority="7000"/>
  </conditionalFormatting>
  <conditionalFormatting sqref="C8">
    <cfRule type="duplicateValues" dxfId="3150" priority="6999"/>
  </conditionalFormatting>
  <conditionalFormatting sqref="C8">
    <cfRule type="duplicateValues" dxfId="3149" priority="6998"/>
  </conditionalFormatting>
  <conditionalFormatting sqref="C8">
    <cfRule type="duplicateValues" dxfId="3148" priority="6997"/>
  </conditionalFormatting>
  <conditionalFormatting sqref="C8">
    <cfRule type="duplicateValues" dxfId="3147" priority="6996"/>
  </conditionalFormatting>
  <conditionalFormatting sqref="C8">
    <cfRule type="duplicateValues" dxfId="3146" priority="6995"/>
  </conditionalFormatting>
  <conditionalFormatting sqref="C8">
    <cfRule type="duplicateValues" dxfId="3145" priority="6994"/>
  </conditionalFormatting>
  <conditionalFormatting sqref="C8">
    <cfRule type="duplicateValues" dxfId="3144" priority="6992" stopIfTrue="1"/>
    <cfRule type="duplicateValues" dxfId="3143" priority="6993"/>
  </conditionalFormatting>
  <conditionalFormatting sqref="C8">
    <cfRule type="duplicateValues" dxfId="3142" priority="6991"/>
  </conditionalFormatting>
  <conditionalFormatting sqref="C8">
    <cfRule type="duplicateValues" dxfId="3141" priority="6990"/>
  </conditionalFormatting>
  <conditionalFormatting sqref="C8">
    <cfRule type="duplicateValues" dxfId="3140" priority="6989"/>
  </conditionalFormatting>
  <conditionalFormatting sqref="C8">
    <cfRule type="duplicateValues" dxfId="3139" priority="6988"/>
  </conditionalFormatting>
  <conditionalFormatting sqref="C8">
    <cfRule type="duplicateValues" dxfId="3138" priority="6987"/>
  </conditionalFormatting>
  <conditionalFormatting sqref="C8">
    <cfRule type="duplicateValues" dxfId="3137" priority="6986"/>
  </conditionalFormatting>
  <conditionalFormatting sqref="C8">
    <cfRule type="duplicateValues" dxfId="3136" priority="6985"/>
  </conditionalFormatting>
  <conditionalFormatting sqref="C8">
    <cfRule type="duplicateValues" dxfId="3135" priority="6984"/>
  </conditionalFormatting>
  <conditionalFormatting sqref="C8">
    <cfRule type="duplicateValues" dxfId="3134" priority="6983"/>
  </conditionalFormatting>
  <conditionalFormatting sqref="C8">
    <cfRule type="duplicateValues" dxfId="3133" priority="6982"/>
  </conditionalFormatting>
  <conditionalFormatting sqref="C8">
    <cfRule type="duplicateValues" dxfId="3132" priority="6981"/>
  </conditionalFormatting>
  <conditionalFormatting sqref="C8">
    <cfRule type="duplicateValues" dxfId="3131" priority="6979" stopIfTrue="1"/>
    <cfRule type="duplicateValues" dxfId="3130" priority="6980"/>
  </conditionalFormatting>
  <conditionalFormatting sqref="C8">
    <cfRule type="duplicateValues" dxfId="3129" priority="6978"/>
  </conditionalFormatting>
  <conditionalFormatting sqref="C8">
    <cfRule type="duplicateValues" dxfId="3128" priority="6976" stopIfTrue="1"/>
    <cfRule type="duplicateValues" dxfId="3127" priority="6977"/>
  </conditionalFormatting>
  <conditionalFormatting sqref="C8">
    <cfRule type="duplicateValues" dxfId="3126" priority="6975"/>
  </conditionalFormatting>
  <conditionalFormatting sqref="C8">
    <cfRule type="duplicateValues" dxfId="3125" priority="6973" stopIfTrue="1"/>
    <cfRule type="duplicateValues" dxfId="3124" priority="6974"/>
  </conditionalFormatting>
  <conditionalFormatting sqref="C8">
    <cfRule type="duplicateValues" dxfId="3123" priority="6972"/>
  </conditionalFormatting>
  <conditionalFormatting sqref="C8">
    <cfRule type="duplicateValues" dxfId="3122" priority="6970" stopIfTrue="1"/>
    <cfRule type="duplicateValues" dxfId="3121" priority="6971"/>
  </conditionalFormatting>
  <conditionalFormatting sqref="C8">
    <cfRule type="duplicateValues" dxfId="3120" priority="6969"/>
  </conditionalFormatting>
  <conditionalFormatting sqref="C8">
    <cfRule type="duplicateValues" dxfId="3119" priority="6967" stopIfTrue="1"/>
    <cfRule type="duplicateValues" dxfId="3118" priority="6968"/>
  </conditionalFormatting>
  <conditionalFormatting sqref="C8">
    <cfRule type="duplicateValues" dxfId="3117" priority="6966"/>
  </conditionalFormatting>
  <conditionalFormatting sqref="C8">
    <cfRule type="duplicateValues" dxfId="3116" priority="6965"/>
  </conditionalFormatting>
  <conditionalFormatting sqref="C8">
    <cfRule type="duplicateValues" dxfId="3115" priority="6964"/>
  </conditionalFormatting>
  <conditionalFormatting sqref="C8">
    <cfRule type="duplicateValues" dxfId="3114" priority="6963"/>
  </conditionalFormatting>
  <conditionalFormatting sqref="C8">
    <cfRule type="duplicateValues" dxfId="3113" priority="6962"/>
  </conditionalFormatting>
  <conditionalFormatting sqref="C8">
    <cfRule type="duplicateValues" dxfId="3112" priority="6961"/>
  </conditionalFormatting>
  <conditionalFormatting sqref="C8">
    <cfRule type="duplicateValues" dxfId="3111" priority="6959" stopIfTrue="1"/>
    <cfRule type="duplicateValues" dxfId="3110" priority="6960"/>
  </conditionalFormatting>
  <conditionalFormatting sqref="C8">
    <cfRule type="duplicateValues" dxfId="3109" priority="6958"/>
  </conditionalFormatting>
  <conditionalFormatting sqref="C8">
    <cfRule type="duplicateValues" dxfId="3108" priority="6956" stopIfTrue="1"/>
    <cfRule type="duplicateValues" dxfId="3107" priority="6957"/>
  </conditionalFormatting>
  <conditionalFormatting sqref="C8">
    <cfRule type="duplicateValues" dxfId="3106" priority="6955"/>
  </conditionalFormatting>
  <conditionalFormatting sqref="C8">
    <cfRule type="duplicateValues" dxfId="3105" priority="6953" stopIfTrue="1"/>
    <cfRule type="duplicateValues" dxfId="3104" priority="6954"/>
  </conditionalFormatting>
  <conditionalFormatting sqref="C8">
    <cfRule type="duplicateValues" dxfId="3103" priority="6952"/>
  </conditionalFormatting>
  <conditionalFormatting sqref="C8">
    <cfRule type="duplicateValues" dxfId="3102" priority="6950" stopIfTrue="1"/>
    <cfRule type="duplicateValues" dxfId="3101" priority="6951"/>
  </conditionalFormatting>
  <conditionalFormatting sqref="C8">
    <cfRule type="duplicateValues" dxfId="3100" priority="6949"/>
  </conditionalFormatting>
  <conditionalFormatting sqref="C8">
    <cfRule type="duplicateValues" dxfId="3099" priority="6947" stopIfTrue="1"/>
    <cfRule type="duplicateValues" dxfId="3098" priority="6948"/>
  </conditionalFormatting>
  <conditionalFormatting sqref="C8">
    <cfRule type="duplicateValues" dxfId="3097" priority="6946"/>
  </conditionalFormatting>
  <conditionalFormatting sqref="C8">
    <cfRule type="duplicateValues" dxfId="3096" priority="6945"/>
  </conditionalFormatting>
  <conditionalFormatting sqref="C8">
    <cfRule type="duplicateValues" dxfId="3095" priority="6944"/>
  </conditionalFormatting>
  <conditionalFormatting sqref="C8">
    <cfRule type="duplicateValues" dxfId="3094" priority="6943"/>
  </conditionalFormatting>
  <conditionalFormatting sqref="C8">
    <cfRule type="duplicateValues" dxfId="3093" priority="6942"/>
  </conditionalFormatting>
  <conditionalFormatting sqref="C8">
    <cfRule type="duplicateValues" dxfId="3092" priority="6941"/>
  </conditionalFormatting>
  <conditionalFormatting sqref="C8">
    <cfRule type="duplicateValues" dxfId="3091" priority="6939" stopIfTrue="1"/>
    <cfRule type="duplicateValues" dxfId="3090" priority="6940"/>
  </conditionalFormatting>
  <conditionalFormatting sqref="C8">
    <cfRule type="duplicateValues" dxfId="3089" priority="6938"/>
  </conditionalFormatting>
  <conditionalFormatting sqref="C8">
    <cfRule type="duplicateValues" dxfId="3088" priority="6936" stopIfTrue="1"/>
    <cfRule type="duplicateValues" dxfId="3087" priority="6937"/>
  </conditionalFormatting>
  <conditionalFormatting sqref="C8">
    <cfRule type="duplicateValues" dxfId="3086" priority="6935"/>
  </conditionalFormatting>
  <conditionalFormatting sqref="C8">
    <cfRule type="duplicateValues" dxfId="3085" priority="6933" stopIfTrue="1"/>
    <cfRule type="duplicateValues" dxfId="3084" priority="6934"/>
  </conditionalFormatting>
  <conditionalFormatting sqref="C8">
    <cfRule type="duplicateValues" dxfId="3083" priority="6932"/>
  </conditionalFormatting>
  <conditionalFormatting sqref="C8">
    <cfRule type="duplicateValues" dxfId="3082" priority="6930" stopIfTrue="1"/>
    <cfRule type="duplicateValues" dxfId="3081" priority="6931"/>
  </conditionalFormatting>
  <conditionalFormatting sqref="C8">
    <cfRule type="duplicateValues" dxfId="3080" priority="6929"/>
  </conditionalFormatting>
  <conditionalFormatting sqref="C8">
    <cfRule type="duplicateValues" dxfId="3079" priority="6927" stopIfTrue="1"/>
    <cfRule type="duplicateValues" dxfId="3078" priority="6928"/>
  </conditionalFormatting>
  <conditionalFormatting sqref="C8">
    <cfRule type="duplicateValues" dxfId="3077" priority="6926"/>
  </conditionalFormatting>
  <conditionalFormatting sqref="C8">
    <cfRule type="duplicateValues" dxfId="3076" priority="6925"/>
  </conditionalFormatting>
  <conditionalFormatting sqref="C8">
    <cfRule type="duplicateValues" dxfId="3075" priority="6924"/>
  </conditionalFormatting>
  <conditionalFormatting sqref="C8">
    <cfRule type="duplicateValues" dxfId="3074" priority="6923"/>
  </conditionalFormatting>
  <conditionalFormatting sqref="C8">
    <cfRule type="duplicateValues" dxfId="3073" priority="6922"/>
  </conditionalFormatting>
  <conditionalFormatting sqref="C8">
    <cfRule type="duplicateValues" dxfId="3072" priority="6921"/>
  </conditionalFormatting>
  <conditionalFormatting sqref="C8">
    <cfRule type="duplicateValues" dxfId="3071" priority="6919" stopIfTrue="1"/>
    <cfRule type="duplicateValues" dxfId="3070" priority="6920"/>
  </conditionalFormatting>
  <conditionalFormatting sqref="C8">
    <cfRule type="duplicateValues" dxfId="3069" priority="6918"/>
  </conditionalFormatting>
  <conditionalFormatting sqref="C8">
    <cfRule type="duplicateValues" dxfId="3068" priority="6916" stopIfTrue="1"/>
    <cfRule type="duplicateValues" dxfId="3067" priority="6917"/>
  </conditionalFormatting>
  <conditionalFormatting sqref="C8">
    <cfRule type="duplicateValues" dxfId="3066" priority="6915"/>
  </conditionalFormatting>
  <conditionalFormatting sqref="C8">
    <cfRule type="duplicateValues" dxfId="3065" priority="6913" stopIfTrue="1"/>
    <cfRule type="duplicateValues" dxfId="3064" priority="6914"/>
  </conditionalFormatting>
  <conditionalFormatting sqref="C8">
    <cfRule type="duplicateValues" dxfId="3063" priority="6912"/>
  </conditionalFormatting>
  <conditionalFormatting sqref="C8">
    <cfRule type="duplicateValues" dxfId="3062" priority="6910" stopIfTrue="1"/>
    <cfRule type="duplicateValues" dxfId="3061" priority="6911"/>
  </conditionalFormatting>
  <conditionalFormatting sqref="C8">
    <cfRule type="duplicateValues" dxfId="3060" priority="6909"/>
  </conditionalFormatting>
  <conditionalFormatting sqref="C8">
    <cfRule type="duplicateValues" dxfId="3059" priority="6907" stopIfTrue="1"/>
    <cfRule type="duplicateValues" dxfId="3058" priority="6908"/>
  </conditionalFormatting>
  <conditionalFormatting sqref="C8">
    <cfRule type="duplicateValues" dxfId="3057" priority="6906"/>
  </conditionalFormatting>
  <conditionalFormatting sqref="C8">
    <cfRule type="duplicateValues" dxfId="3056" priority="6905"/>
  </conditionalFormatting>
  <conditionalFormatting sqref="C8">
    <cfRule type="duplicateValues" dxfId="3055" priority="6904"/>
  </conditionalFormatting>
  <conditionalFormatting sqref="C8">
    <cfRule type="duplicateValues" dxfId="3054" priority="6903"/>
  </conditionalFormatting>
  <conditionalFormatting sqref="C8">
    <cfRule type="duplicateValues" dxfId="3053" priority="6902"/>
  </conditionalFormatting>
  <conditionalFormatting sqref="C8">
    <cfRule type="duplicateValues" dxfId="3052" priority="6901"/>
  </conditionalFormatting>
  <conditionalFormatting sqref="C8">
    <cfRule type="duplicateValues" dxfId="3051" priority="6900"/>
  </conditionalFormatting>
  <conditionalFormatting sqref="C8">
    <cfRule type="duplicateValues" dxfId="3050" priority="6899"/>
  </conditionalFormatting>
  <conditionalFormatting sqref="C8">
    <cfRule type="duplicateValues" dxfId="3049" priority="6898"/>
  </conditionalFormatting>
  <conditionalFormatting sqref="C8">
    <cfRule type="duplicateValues" dxfId="3048" priority="6897"/>
  </conditionalFormatting>
  <conditionalFormatting sqref="C8">
    <cfRule type="duplicateValues" dxfId="3047" priority="6896"/>
  </conditionalFormatting>
  <conditionalFormatting sqref="C8">
    <cfRule type="duplicateValues" dxfId="3046" priority="6895"/>
  </conditionalFormatting>
  <conditionalFormatting sqref="C8">
    <cfRule type="duplicateValues" dxfId="3045" priority="6894"/>
  </conditionalFormatting>
  <conditionalFormatting sqref="C8">
    <cfRule type="duplicateValues" dxfId="3044" priority="6893"/>
  </conditionalFormatting>
  <conditionalFormatting sqref="C8">
    <cfRule type="duplicateValues" dxfId="3043" priority="6892"/>
  </conditionalFormatting>
  <conditionalFormatting sqref="C8">
    <cfRule type="duplicateValues" dxfId="3042" priority="6891"/>
  </conditionalFormatting>
  <conditionalFormatting sqref="C8">
    <cfRule type="duplicateValues" dxfId="3041" priority="6890"/>
  </conditionalFormatting>
  <conditionalFormatting sqref="C8">
    <cfRule type="duplicateValues" dxfId="3040" priority="6889"/>
  </conditionalFormatting>
  <conditionalFormatting sqref="C8">
    <cfRule type="duplicateValues" dxfId="3039" priority="6888"/>
  </conditionalFormatting>
  <conditionalFormatting sqref="C8">
    <cfRule type="duplicateValues" dxfId="3038" priority="6887"/>
  </conditionalFormatting>
  <conditionalFormatting sqref="C8">
    <cfRule type="duplicateValues" dxfId="3037" priority="6886"/>
  </conditionalFormatting>
  <conditionalFormatting sqref="C8">
    <cfRule type="duplicateValues" dxfId="3036" priority="6885"/>
  </conditionalFormatting>
  <conditionalFormatting sqref="C8">
    <cfRule type="duplicateValues" dxfId="3035" priority="6884"/>
  </conditionalFormatting>
  <conditionalFormatting sqref="C8">
    <cfRule type="duplicateValues" dxfId="3034" priority="6883"/>
  </conditionalFormatting>
  <conditionalFormatting sqref="C8">
    <cfRule type="duplicateValues" dxfId="3033" priority="6882"/>
  </conditionalFormatting>
  <conditionalFormatting sqref="C8">
    <cfRule type="duplicateValues" dxfId="3032" priority="6881"/>
  </conditionalFormatting>
  <conditionalFormatting sqref="C8">
    <cfRule type="duplicateValues" dxfId="3031" priority="6880"/>
  </conditionalFormatting>
  <conditionalFormatting sqref="C8">
    <cfRule type="duplicateValues" dxfId="3030" priority="6879"/>
  </conditionalFormatting>
  <conditionalFormatting sqref="C8">
    <cfRule type="duplicateValues" dxfId="3029" priority="6878"/>
  </conditionalFormatting>
  <conditionalFormatting sqref="C8">
    <cfRule type="duplicateValues" dxfId="3028" priority="6877"/>
  </conditionalFormatting>
  <conditionalFormatting sqref="C8">
    <cfRule type="duplicateValues" dxfId="3027" priority="6876"/>
  </conditionalFormatting>
  <conditionalFormatting sqref="C8">
    <cfRule type="duplicateValues" dxfId="3026" priority="6875"/>
  </conditionalFormatting>
  <conditionalFormatting sqref="C8">
    <cfRule type="duplicateValues" dxfId="3025" priority="6874"/>
  </conditionalFormatting>
  <conditionalFormatting sqref="C8">
    <cfRule type="duplicateValues" dxfId="3024" priority="6873"/>
  </conditionalFormatting>
  <conditionalFormatting sqref="C8">
    <cfRule type="duplicateValues" dxfId="3023" priority="6872"/>
  </conditionalFormatting>
  <conditionalFormatting sqref="C8">
    <cfRule type="duplicateValues" dxfId="3022" priority="6871"/>
  </conditionalFormatting>
  <conditionalFormatting sqref="C8">
    <cfRule type="duplicateValues" dxfId="3021" priority="6870"/>
  </conditionalFormatting>
  <conditionalFormatting sqref="C8">
    <cfRule type="duplicateValues" dxfId="3020" priority="6869"/>
  </conditionalFormatting>
  <conditionalFormatting sqref="C8">
    <cfRule type="duplicateValues" dxfId="3019" priority="6868"/>
  </conditionalFormatting>
  <conditionalFormatting sqref="C8">
    <cfRule type="duplicateValues" dxfId="3018" priority="6867"/>
  </conditionalFormatting>
  <conditionalFormatting sqref="C8">
    <cfRule type="duplicateValues" dxfId="3017" priority="6865" stopIfTrue="1"/>
    <cfRule type="duplicateValues" dxfId="3016" priority="6866"/>
  </conditionalFormatting>
  <conditionalFormatting sqref="C8">
    <cfRule type="duplicateValues" dxfId="3015" priority="6864"/>
  </conditionalFormatting>
  <conditionalFormatting sqref="C8">
    <cfRule type="duplicateValues" dxfId="3014" priority="6863"/>
  </conditionalFormatting>
  <conditionalFormatting sqref="C8">
    <cfRule type="duplicateValues" dxfId="3013" priority="6862"/>
  </conditionalFormatting>
  <conditionalFormatting sqref="C8">
    <cfRule type="duplicateValues" dxfId="3012" priority="6861"/>
  </conditionalFormatting>
  <conditionalFormatting sqref="C8">
    <cfRule type="duplicateValues" dxfId="3011" priority="6859" stopIfTrue="1"/>
    <cfRule type="duplicateValues" dxfId="3010" priority="6860"/>
  </conditionalFormatting>
  <conditionalFormatting sqref="C8">
    <cfRule type="duplicateValues" dxfId="3009" priority="6858"/>
  </conditionalFormatting>
  <conditionalFormatting sqref="C8">
    <cfRule type="duplicateValues" dxfId="3008" priority="6856" stopIfTrue="1"/>
    <cfRule type="duplicateValues" dxfId="3007" priority="6857"/>
  </conditionalFormatting>
  <conditionalFormatting sqref="C8">
    <cfRule type="duplicateValues" dxfId="3006" priority="6855"/>
  </conditionalFormatting>
  <conditionalFormatting sqref="C8">
    <cfRule type="duplicateValues" dxfId="3005" priority="6853" stopIfTrue="1"/>
    <cfRule type="duplicateValues" dxfId="3004" priority="6854"/>
  </conditionalFormatting>
  <conditionalFormatting sqref="C8">
    <cfRule type="duplicateValues" dxfId="3003" priority="6852"/>
  </conditionalFormatting>
  <conditionalFormatting sqref="C8">
    <cfRule type="duplicateValues" dxfId="3002" priority="6850" stopIfTrue="1"/>
    <cfRule type="duplicateValues" dxfId="3001" priority="6851"/>
  </conditionalFormatting>
  <conditionalFormatting sqref="C8">
    <cfRule type="duplicateValues" dxfId="3000" priority="6849"/>
  </conditionalFormatting>
  <conditionalFormatting sqref="C8">
    <cfRule type="duplicateValues" dxfId="2999" priority="6847" stopIfTrue="1"/>
    <cfRule type="duplicateValues" dxfId="2998" priority="6848"/>
  </conditionalFormatting>
  <conditionalFormatting sqref="C8">
    <cfRule type="duplicateValues" dxfId="2997" priority="6846"/>
  </conditionalFormatting>
  <conditionalFormatting sqref="C8">
    <cfRule type="duplicateValues" dxfId="2996" priority="6845"/>
  </conditionalFormatting>
  <conditionalFormatting sqref="C8">
    <cfRule type="duplicateValues" dxfId="2995" priority="6844"/>
  </conditionalFormatting>
  <conditionalFormatting sqref="C8">
    <cfRule type="duplicateValues" dxfId="2994" priority="6843"/>
  </conditionalFormatting>
  <conditionalFormatting sqref="C8">
    <cfRule type="duplicateValues" dxfId="2993" priority="6842"/>
  </conditionalFormatting>
  <conditionalFormatting sqref="C8">
    <cfRule type="duplicateValues" dxfId="2992" priority="6841"/>
  </conditionalFormatting>
  <conditionalFormatting sqref="C8">
    <cfRule type="duplicateValues" dxfId="2991" priority="6839" stopIfTrue="1"/>
    <cfRule type="duplicateValues" dxfId="2990" priority="6840"/>
  </conditionalFormatting>
  <conditionalFormatting sqref="C8">
    <cfRule type="duplicateValues" dxfId="2989" priority="6838"/>
  </conditionalFormatting>
  <conditionalFormatting sqref="C8">
    <cfRule type="duplicateValues" dxfId="2988" priority="6836" stopIfTrue="1"/>
    <cfRule type="duplicateValues" dxfId="2987" priority="6837"/>
  </conditionalFormatting>
  <conditionalFormatting sqref="C8">
    <cfRule type="duplicateValues" dxfId="2986" priority="6835"/>
  </conditionalFormatting>
  <conditionalFormatting sqref="C8">
    <cfRule type="duplicateValues" dxfId="2985" priority="6833" stopIfTrue="1"/>
    <cfRule type="duplicateValues" dxfId="2984" priority="6834"/>
  </conditionalFormatting>
  <conditionalFormatting sqref="C8">
    <cfRule type="duplicateValues" dxfId="2983" priority="6832"/>
  </conditionalFormatting>
  <conditionalFormatting sqref="C8">
    <cfRule type="duplicateValues" dxfId="2982" priority="6830" stopIfTrue="1"/>
    <cfRule type="duplicateValues" dxfId="2981" priority="6831"/>
  </conditionalFormatting>
  <conditionalFormatting sqref="C8">
    <cfRule type="duplicateValues" dxfId="2980" priority="6829"/>
  </conditionalFormatting>
  <conditionalFormatting sqref="C8">
    <cfRule type="duplicateValues" dxfId="2979" priority="6827" stopIfTrue="1"/>
    <cfRule type="duplicateValues" dxfId="2978" priority="6828"/>
  </conditionalFormatting>
  <conditionalFormatting sqref="C8">
    <cfRule type="duplicateValues" dxfId="2977" priority="6826"/>
  </conditionalFormatting>
  <conditionalFormatting sqref="C8">
    <cfRule type="duplicateValues" dxfId="2976" priority="6825"/>
  </conditionalFormatting>
  <conditionalFormatting sqref="C8">
    <cfRule type="duplicateValues" dxfId="2975" priority="6824"/>
  </conditionalFormatting>
  <conditionalFormatting sqref="C8">
    <cfRule type="duplicateValues" dxfId="2974" priority="6823"/>
  </conditionalFormatting>
  <conditionalFormatting sqref="C8">
    <cfRule type="duplicateValues" dxfId="2973" priority="6822"/>
  </conditionalFormatting>
  <conditionalFormatting sqref="C8">
    <cfRule type="duplicateValues" dxfId="2972" priority="6821"/>
  </conditionalFormatting>
  <conditionalFormatting sqref="C8">
    <cfRule type="duplicateValues" dxfId="2971" priority="6819" stopIfTrue="1"/>
    <cfRule type="duplicateValues" dxfId="2970" priority="6820"/>
  </conditionalFormatting>
  <conditionalFormatting sqref="C8">
    <cfRule type="duplicateValues" dxfId="2969" priority="6818"/>
  </conditionalFormatting>
  <conditionalFormatting sqref="C8">
    <cfRule type="duplicateValues" dxfId="2968" priority="6816" stopIfTrue="1"/>
    <cfRule type="duplicateValues" dxfId="2967" priority="6817"/>
  </conditionalFormatting>
  <conditionalFormatting sqref="C8">
    <cfRule type="duplicateValues" dxfId="2966" priority="6815"/>
  </conditionalFormatting>
  <conditionalFormatting sqref="C8">
    <cfRule type="duplicateValues" dxfId="2965" priority="6813" stopIfTrue="1"/>
    <cfRule type="duplicateValues" dxfId="2964" priority="6814"/>
  </conditionalFormatting>
  <conditionalFormatting sqref="C8">
    <cfRule type="duplicateValues" dxfId="2963" priority="6812"/>
  </conditionalFormatting>
  <conditionalFormatting sqref="C8">
    <cfRule type="duplicateValues" dxfId="2962" priority="6810" stopIfTrue="1"/>
    <cfRule type="duplicateValues" dxfId="2961" priority="6811"/>
  </conditionalFormatting>
  <conditionalFormatting sqref="C8">
    <cfRule type="duplicateValues" dxfId="2960" priority="6809"/>
  </conditionalFormatting>
  <conditionalFormatting sqref="C8">
    <cfRule type="duplicateValues" dxfId="2959" priority="6807" stopIfTrue="1"/>
    <cfRule type="duplicateValues" dxfId="2958" priority="6808"/>
  </conditionalFormatting>
  <conditionalFormatting sqref="C8">
    <cfRule type="duplicateValues" dxfId="2957" priority="6806"/>
  </conditionalFormatting>
  <conditionalFormatting sqref="C8">
    <cfRule type="duplicateValues" dxfId="2956" priority="6805"/>
  </conditionalFormatting>
  <conditionalFormatting sqref="C8">
    <cfRule type="duplicateValues" dxfId="2955" priority="6804"/>
  </conditionalFormatting>
  <conditionalFormatting sqref="C8">
    <cfRule type="duplicateValues" dxfId="2954" priority="6803"/>
  </conditionalFormatting>
  <conditionalFormatting sqref="C8">
    <cfRule type="duplicateValues" dxfId="2953" priority="6802"/>
  </conditionalFormatting>
  <conditionalFormatting sqref="C8">
    <cfRule type="duplicateValues" dxfId="2952" priority="6801"/>
  </conditionalFormatting>
  <conditionalFormatting sqref="C8">
    <cfRule type="duplicateValues" dxfId="2951" priority="6800"/>
  </conditionalFormatting>
  <conditionalFormatting sqref="C8">
    <cfRule type="duplicateValues" dxfId="2950" priority="6799"/>
  </conditionalFormatting>
  <conditionalFormatting sqref="C8">
    <cfRule type="duplicateValues" dxfId="2949" priority="6798"/>
  </conditionalFormatting>
  <conditionalFormatting sqref="C8">
    <cfRule type="duplicateValues" dxfId="2948" priority="6797"/>
  </conditionalFormatting>
  <conditionalFormatting sqref="C8">
    <cfRule type="duplicateValues" dxfId="2947" priority="6796"/>
  </conditionalFormatting>
  <conditionalFormatting sqref="C8">
    <cfRule type="duplicateValues" dxfId="2946" priority="6795"/>
  </conditionalFormatting>
  <conditionalFormatting sqref="C8">
    <cfRule type="duplicateValues" dxfId="2945" priority="6794"/>
  </conditionalFormatting>
  <conditionalFormatting sqref="C8">
    <cfRule type="duplicateValues" dxfId="2944" priority="6793"/>
  </conditionalFormatting>
  <conditionalFormatting sqref="C8">
    <cfRule type="duplicateValues" dxfId="2943" priority="6792"/>
  </conditionalFormatting>
  <conditionalFormatting sqref="C8">
    <cfRule type="duplicateValues" dxfId="2942" priority="6791"/>
  </conditionalFormatting>
  <conditionalFormatting sqref="C8">
    <cfRule type="duplicateValues" dxfId="2941" priority="6790"/>
  </conditionalFormatting>
  <conditionalFormatting sqref="C8">
    <cfRule type="duplicateValues" dxfId="2940" priority="6789"/>
  </conditionalFormatting>
  <conditionalFormatting sqref="C8">
    <cfRule type="duplicateValues" dxfId="2939" priority="6788"/>
  </conditionalFormatting>
  <conditionalFormatting sqref="C8">
    <cfRule type="duplicateValues" dxfId="2938" priority="6787"/>
  </conditionalFormatting>
  <conditionalFormatting sqref="C8">
    <cfRule type="duplicateValues" dxfId="2937" priority="6786"/>
  </conditionalFormatting>
  <conditionalFormatting sqref="C8">
    <cfRule type="duplicateValues" dxfId="2936" priority="6785"/>
  </conditionalFormatting>
  <conditionalFormatting sqref="C8">
    <cfRule type="duplicateValues" dxfId="2935" priority="6784"/>
  </conditionalFormatting>
  <conditionalFormatting sqref="C8">
    <cfRule type="duplicateValues" dxfId="2934" priority="6783"/>
  </conditionalFormatting>
  <conditionalFormatting sqref="C8">
    <cfRule type="duplicateValues" dxfId="2933" priority="6782"/>
  </conditionalFormatting>
  <conditionalFormatting sqref="C8">
    <cfRule type="duplicateValues" dxfId="2932" priority="6781"/>
  </conditionalFormatting>
  <conditionalFormatting sqref="C8">
    <cfRule type="duplicateValues" dxfId="2931" priority="6780"/>
  </conditionalFormatting>
  <conditionalFormatting sqref="C8">
    <cfRule type="duplicateValues" dxfId="2930" priority="6779"/>
  </conditionalFormatting>
  <conditionalFormatting sqref="C8">
    <cfRule type="duplicateValues" dxfId="2929" priority="6778"/>
  </conditionalFormatting>
  <conditionalFormatting sqref="C8">
    <cfRule type="duplicateValues" dxfId="2928" priority="6777"/>
  </conditionalFormatting>
  <conditionalFormatting sqref="C8">
    <cfRule type="duplicateValues" dxfId="2927" priority="6776"/>
  </conditionalFormatting>
  <conditionalFormatting sqref="C8">
    <cfRule type="duplicateValues" dxfId="2926" priority="6775"/>
  </conditionalFormatting>
  <conditionalFormatting sqref="C8">
    <cfRule type="duplicateValues" dxfId="2925" priority="6774"/>
  </conditionalFormatting>
  <conditionalFormatting sqref="C8">
    <cfRule type="duplicateValues" dxfId="2924" priority="6773"/>
  </conditionalFormatting>
  <conditionalFormatting sqref="C8">
    <cfRule type="duplicateValues" dxfId="2923" priority="6772"/>
  </conditionalFormatting>
  <conditionalFormatting sqref="C8">
    <cfRule type="duplicateValues" dxfId="2922" priority="6771"/>
  </conditionalFormatting>
  <conditionalFormatting sqref="C8">
    <cfRule type="duplicateValues" dxfId="2921" priority="6770"/>
  </conditionalFormatting>
  <conditionalFormatting sqref="C8">
    <cfRule type="duplicateValues" dxfId="2920" priority="6769"/>
  </conditionalFormatting>
  <conditionalFormatting sqref="C8">
    <cfRule type="duplicateValues" dxfId="2919" priority="6768"/>
  </conditionalFormatting>
  <conditionalFormatting sqref="C8">
    <cfRule type="duplicateValues" dxfId="2918" priority="6767"/>
  </conditionalFormatting>
  <conditionalFormatting sqref="C8">
    <cfRule type="duplicateValues" dxfId="2917" priority="6765" stopIfTrue="1"/>
    <cfRule type="duplicateValues" dxfId="2916" priority="6766"/>
  </conditionalFormatting>
  <conditionalFormatting sqref="C8">
    <cfRule type="duplicateValues" dxfId="2915" priority="6764"/>
  </conditionalFormatting>
  <conditionalFormatting sqref="C8">
    <cfRule type="duplicateValues" dxfId="2914" priority="6763"/>
  </conditionalFormatting>
  <conditionalFormatting sqref="C8">
    <cfRule type="duplicateValues" dxfId="2913" priority="6762"/>
  </conditionalFormatting>
  <conditionalFormatting sqref="C8">
    <cfRule type="duplicateValues" dxfId="2912" priority="6761"/>
  </conditionalFormatting>
  <conditionalFormatting sqref="C8">
    <cfRule type="duplicateValues" dxfId="2911" priority="6759" stopIfTrue="1"/>
    <cfRule type="duplicateValues" dxfId="2910" priority="6760"/>
  </conditionalFormatting>
  <conditionalFormatting sqref="C8">
    <cfRule type="duplicateValues" dxfId="2909" priority="6758"/>
  </conditionalFormatting>
  <conditionalFormatting sqref="C8">
    <cfRule type="duplicateValues" dxfId="2908" priority="6756" stopIfTrue="1"/>
    <cfRule type="duplicateValues" dxfId="2907" priority="6757"/>
  </conditionalFormatting>
  <conditionalFormatting sqref="C8">
    <cfRule type="duplicateValues" dxfId="2906" priority="6755"/>
  </conditionalFormatting>
  <conditionalFormatting sqref="C8">
    <cfRule type="duplicateValues" dxfId="2905" priority="6753" stopIfTrue="1"/>
    <cfRule type="duplicateValues" dxfId="2904" priority="6754"/>
  </conditionalFormatting>
  <conditionalFormatting sqref="C8">
    <cfRule type="duplicateValues" dxfId="2903" priority="6752"/>
  </conditionalFormatting>
  <conditionalFormatting sqref="C8">
    <cfRule type="duplicateValues" dxfId="2902" priority="6750" stopIfTrue="1"/>
    <cfRule type="duplicateValues" dxfId="2901" priority="6751"/>
  </conditionalFormatting>
  <conditionalFormatting sqref="C8">
    <cfRule type="duplicateValues" dxfId="2900" priority="6749"/>
  </conditionalFormatting>
  <conditionalFormatting sqref="C8">
    <cfRule type="duplicateValues" dxfId="2899" priority="6747" stopIfTrue="1"/>
    <cfRule type="duplicateValues" dxfId="2898" priority="6748"/>
  </conditionalFormatting>
  <conditionalFormatting sqref="C8">
    <cfRule type="duplicateValues" dxfId="2897" priority="6746"/>
  </conditionalFormatting>
  <conditionalFormatting sqref="C8">
    <cfRule type="duplicateValues" dxfId="2896" priority="6745"/>
  </conditionalFormatting>
  <conditionalFormatting sqref="C8">
    <cfRule type="duplicateValues" dxfId="2895" priority="6744"/>
  </conditionalFormatting>
  <conditionalFormatting sqref="C8">
    <cfRule type="duplicateValues" dxfId="2894" priority="6743"/>
  </conditionalFormatting>
  <conditionalFormatting sqref="C8">
    <cfRule type="duplicateValues" dxfId="2893" priority="6742"/>
  </conditionalFormatting>
  <conditionalFormatting sqref="C8">
    <cfRule type="duplicateValues" dxfId="2892" priority="6741"/>
  </conditionalFormatting>
  <conditionalFormatting sqref="C8">
    <cfRule type="duplicateValues" dxfId="2891" priority="6739" stopIfTrue="1"/>
    <cfRule type="duplicateValues" dxfId="2890" priority="6740"/>
  </conditionalFormatting>
  <conditionalFormatting sqref="C8">
    <cfRule type="duplicateValues" dxfId="2889" priority="6738"/>
  </conditionalFormatting>
  <conditionalFormatting sqref="C8">
    <cfRule type="duplicateValues" dxfId="2888" priority="6736" stopIfTrue="1"/>
    <cfRule type="duplicateValues" dxfId="2887" priority="6737"/>
  </conditionalFormatting>
  <conditionalFormatting sqref="C8">
    <cfRule type="duplicateValues" dxfId="2886" priority="6735"/>
  </conditionalFormatting>
  <conditionalFormatting sqref="C8">
    <cfRule type="duplicateValues" dxfId="2885" priority="6733" stopIfTrue="1"/>
    <cfRule type="duplicateValues" dxfId="2884" priority="6734"/>
  </conditionalFormatting>
  <conditionalFormatting sqref="C8">
    <cfRule type="duplicateValues" dxfId="2883" priority="6732"/>
  </conditionalFormatting>
  <conditionalFormatting sqref="C8">
    <cfRule type="duplicateValues" dxfId="2882" priority="6730" stopIfTrue="1"/>
    <cfRule type="duplicateValues" dxfId="2881" priority="6731"/>
  </conditionalFormatting>
  <conditionalFormatting sqref="C8">
    <cfRule type="duplicateValues" dxfId="2880" priority="6729"/>
  </conditionalFormatting>
  <conditionalFormatting sqref="C8">
    <cfRule type="duplicateValues" dxfId="2879" priority="6727" stopIfTrue="1"/>
    <cfRule type="duplicateValues" dxfId="2878" priority="6728"/>
  </conditionalFormatting>
  <conditionalFormatting sqref="C8">
    <cfRule type="duplicateValues" dxfId="2877" priority="6726"/>
  </conditionalFormatting>
  <conditionalFormatting sqref="C8">
    <cfRule type="duplicateValues" dxfId="2876" priority="6725"/>
  </conditionalFormatting>
  <conditionalFormatting sqref="C8">
    <cfRule type="duplicateValues" dxfId="2875" priority="6724"/>
  </conditionalFormatting>
  <conditionalFormatting sqref="C8">
    <cfRule type="duplicateValues" dxfId="2874" priority="6723"/>
  </conditionalFormatting>
  <conditionalFormatting sqref="C8">
    <cfRule type="duplicateValues" dxfId="2873" priority="6722"/>
  </conditionalFormatting>
  <conditionalFormatting sqref="C8">
    <cfRule type="duplicateValues" dxfId="2872" priority="6721"/>
  </conditionalFormatting>
  <conditionalFormatting sqref="C8">
    <cfRule type="duplicateValues" dxfId="2871" priority="6720"/>
  </conditionalFormatting>
  <conditionalFormatting sqref="C8">
    <cfRule type="duplicateValues" dxfId="2870" priority="6719"/>
  </conditionalFormatting>
  <conditionalFormatting sqref="C8">
    <cfRule type="duplicateValues" dxfId="2869" priority="6718"/>
  </conditionalFormatting>
  <conditionalFormatting sqref="C8">
    <cfRule type="duplicateValues" dxfId="2868" priority="6717"/>
  </conditionalFormatting>
  <conditionalFormatting sqref="C8">
    <cfRule type="duplicateValues" dxfId="2867" priority="6716"/>
  </conditionalFormatting>
  <conditionalFormatting sqref="C8">
    <cfRule type="duplicateValues" dxfId="2866" priority="6715"/>
  </conditionalFormatting>
  <conditionalFormatting sqref="C8">
    <cfRule type="duplicateValues" dxfId="2865" priority="6714"/>
  </conditionalFormatting>
  <conditionalFormatting sqref="C8">
    <cfRule type="duplicateValues" dxfId="2864" priority="6713"/>
  </conditionalFormatting>
  <conditionalFormatting sqref="C8">
    <cfRule type="duplicateValues" dxfId="2863" priority="6712"/>
  </conditionalFormatting>
  <conditionalFormatting sqref="C8">
    <cfRule type="duplicateValues" dxfId="2862" priority="6711"/>
  </conditionalFormatting>
  <conditionalFormatting sqref="C8">
    <cfRule type="duplicateValues" dxfId="2861" priority="6710"/>
  </conditionalFormatting>
  <conditionalFormatting sqref="C8">
    <cfRule type="duplicateValues" dxfId="2860" priority="6709"/>
  </conditionalFormatting>
  <conditionalFormatting sqref="C8">
    <cfRule type="duplicateValues" dxfId="2859" priority="6708"/>
  </conditionalFormatting>
  <conditionalFormatting sqref="C8">
    <cfRule type="duplicateValues" dxfId="2858" priority="6707"/>
  </conditionalFormatting>
  <conditionalFormatting sqref="C8">
    <cfRule type="duplicateValues" dxfId="2857" priority="6706"/>
  </conditionalFormatting>
  <conditionalFormatting sqref="C8">
    <cfRule type="duplicateValues" dxfId="2856" priority="6705"/>
  </conditionalFormatting>
  <conditionalFormatting sqref="C8">
    <cfRule type="duplicateValues" dxfId="2855" priority="6704"/>
  </conditionalFormatting>
  <conditionalFormatting sqref="C8">
    <cfRule type="duplicateValues" dxfId="2854" priority="6703"/>
  </conditionalFormatting>
  <conditionalFormatting sqref="C8">
    <cfRule type="duplicateValues" dxfId="2853" priority="6702"/>
  </conditionalFormatting>
  <conditionalFormatting sqref="C8">
    <cfRule type="duplicateValues" dxfId="2852" priority="6701"/>
  </conditionalFormatting>
  <conditionalFormatting sqref="C8">
    <cfRule type="duplicateValues" dxfId="2851" priority="6700"/>
  </conditionalFormatting>
  <conditionalFormatting sqref="C8">
    <cfRule type="duplicateValues" dxfId="2850" priority="6699"/>
  </conditionalFormatting>
  <conditionalFormatting sqref="C8">
    <cfRule type="duplicateValues" dxfId="2849" priority="6698"/>
  </conditionalFormatting>
  <conditionalFormatting sqref="C8">
    <cfRule type="duplicateValues" dxfId="2848" priority="6697"/>
  </conditionalFormatting>
  <conditionalFormatting sqref="C8">
    <cfRule type="duplicateValues" dxfId="2847" priority="6696"/>
  </conditionalFormatting>
  <conditionalFormatting sqref="C8">
    <cfRule type="duplicateValues" dxfId="2846" priority="6695"/>
  </conditionalFormatting>
  <conditionalFormatting sqref="C8">
    <cfRule type="duplicateValues" dxfId="2845" priority="6694"/>
  </conditionalFormatting>
  <conditionalFormatting sqref="C8">
    <cfRule type="duplicateValues" dxfId="2844" priority="6693"/>
  </conditionalFormatting>
  <conditionalFormatting sqref="C8">
    <cfRule type="duplicateValues" dxfId="2843" priority="6692"/>
  </conditionalFormatting>
  <conditionalFormatting sqref="C8">
    <cfRule type="duplicateValues" dxfId="2842" priority="6691"/>
  </conditionalFormatting>
  <conditionalFormatting sqref="C8">
    <cfRule type="duplicateValues" dxfId="2841" priority="6690"/>
  </conditionalFormatting>
  <conditionalFormatting sqref="C8">
    <cfRule type="duplicateValues" dxfId="2840" priority="6689"/>
  </conditionalFormatting>
  <conditionalFormatting sqref="C8">
    <cfRule type="duplicateValues" dxfId="2839" priority="6688"/>
  </conditionalFormatting>
  <conditionalFormatting sqref="C8">
    <cfRule type="duplicateValues" dxfId="2838" priority="6687"/>
  </conditionalFormatting>
  <conditionalFormatting sqref="C8">
    <cfRule type="duplicateValues" dxfId="2837" priority="6685" stopIfTrue="1"/>
    <cfRule type="duplicateValues" dxfId="2836" priority="6686"/>
  </conditionalFormatting>
  <conditionalFormatting sqref="C8">
    <cfRule type="duplicateValues" dxfId="2835" priority="6684"/>
  </conditionalFormatting>
  <conditionalFormatting sqref="C8">
    <cfRule type="duplicateValues" dxfId="2834" priority="6683"/>
  </conditionalFormatting>
  <conditionalFormatting sqref="C8">
    <cfRule type="duplicateValues" dxfId="2833" priority="6682"/>
  </conditionalFormatting>
  <conditionalFormatting sqref="C8">
    <cfRule type="duplicateValues" dxfId="2832" priority="6681"/>
  </conditionalFormatting>
  <conditionalFormatting sqref="C8">
    <cfRule type="duplicateValues" dxfId="2831" priority="6679" stopIfTrue="1"/>
    <cfRule type="duplicateValues" dxfId="2830" priority="6680"/>
  </conditionalFormatting>
  <conditionalFormatting sqref="C8">
    <cfRule type="duplicateValues" dxfId="2829" priority="6678"/>
  </conditionalFormatting>
  <conditionalFormatting sqref="C8">
    <cfRule type="duplicateValues" dxfId="2828" priority="6676" stopIfTrue="1"/>
    <cfRule type="duplicateValues" dxfId="2827" priority="6677"/>
  </conditionalFormatting>
  <conditionalFormatting sqref="C8">
    <cfRule type="duplicateValues" dxfId="2826" priority="6675"/>
  </conditionalFormatting>
  <conditionalFormatting sqref="C8">
    <cfRule type="duplicateValues" dxfId="2825" priority="6673" stopIfTrue="1"/>
    <cfRule type="duplicateValues" dxfId="2824" priority="6674"/>
  </conditionalFormatting>
  <conditionalFormatting sqref="C8">
    <cfRule type="duplicateValues" dxfId="2823" priority="6672"/>
  </conditionalFormatting>
  <conditionalFormatting sqref="C8">
    <cfRule type="duplicateValues" dxfId="2822" priority="6670" stopIfTrue="1"/>
    <cfRule type="duplicateValues" dxfId="2821" priority="6671"/>
  </conditionalFormatting>
  <conditionalFormatting sqref="C8">
    <cfRule type="duplicateValues" dxfId="2820" priority="6669"/>
  </conditionalFormatting>
  <conditionalFormatting sqref="C8">
    <cfRule type="duplicateValues" dxfId="2819" priority="6667" stopIfTrue="1"/>
    <cfRule type="duplicateValues" dxfId="2818" priority="6668"/>
  </conditionalFormatting>
  <conditionalFormatting sqref="C8">
    <cfRule type="duplicateValues" dxfId="2817" priority="6666"/>
  </conditionalFormatting>
  <conditionalFormatting sqref="C8">
    <cfRule type="duplicateValues" dxfId="2816" priority="6665"/>
  </conditionalFormatting>
  <conditionalFormatting sqref="C8">
    <cfRule type="duplicateValues" dxfId="2815" priority="6664"/>
  </conditionalFormatting>
  <conditionalFormatting sqref="C8">
    <cfRule type="duplicateValues" dxfId="2814" priority="6663"/>
  </conditionalFormatting>
  <conditionalFormatting sqref="C8">
    <cfRule type="duplicateValues" dxfId="2813" priority="6662"/>
  </conditionalFormatting>
  <conditionalFormatting sqref="C8">
    <cfRule type="duplicateValues" dxfId="2812" priority="6661"/>
  </conditionalFormatting>
  <conditionalFormatting sqref="C8">
    <cfRule type="duplicateValues" dxfId="2811" priority="6660"/>
  </conditionalFormatting>
  <conditionalFormatting sqref="C8">
    <cfRule type="duplicateValues" dxfId="2810" priority="6659"/>
  </conditionalFormatting>
  <conditionalFormatting sqref="C8">
    <cfRule type="duplicateValues" dxfId="2809" priority="6658"/>
  </conditionalFormatting>
  <conditionalFormatting sqref="C8">
    <cfRule type="duplicateValues" dxfId="2808" priority="6657"/>
  </conditionalFormatting>
  <conditionalFormatting sqref="C8">
    <cfRule type="duplicateValues" dxfId="2807" priority="6656"/>
  </conditionalFormatting>
  <conditionalFormatting sqref="C8">
    <cfRule type="duplicateValues" dxfId="2806" priority="6655"/>
  </conditionalFormatting>
  <conditionalFormatting sqref="C8">
    <cfRule type="duplicateValues" dxfId="2805" priority="6654"/>
  </conditionalFormatting>
  <conditionalFormatting sqref="C8">
    <cfRule type="duplicateValues" dxfId="2804" priority="6653"/>
  </conditionalFormatting>
  <conditionalFormatting sqref="C8">
    <cfRule type="duplicateValues" dxfId="2803" priority="6652"/>
  </conditionalFormatting>
  <conditionalFormatting sqref="C8">
    <cfRule type="duplicateValues" dxfId="2802" priority="6651"/>
  </conditionalFormatting>
  <conditionalFormatting sqref="C8">
    <cfRule type="duplicateValues" dxfId="2801" priority="6650"/>
  </conditionalFormatting>
  <conditionalFormatting sqref="C8">
    <cfRule type="duplicateValues" dxfId="2800" priority="6649"/>
  </conditionalFormatting>
  <conditionalFormatting sqref="C8">
    <cfRule type="duplicateValues" dxfId="2799" priority="6648"/>
  </conditionalFormatting>
  <conditionalFormatting sqref="C8">
    <cfRule type="duplicateValues" dxfId="2798" priority="6647"/>
  </conditionalFormatting>
  <conditionalFormatting sqref="C8">
    <cfRule type="duplicateValues" dxfId="2797" priority="6646"/>
  </conditionalFormatting>
  <conditionalFormatting sqref="C8">
    <cfRule type="duplicateValues" dxfId="2796" priority="6645"/>
  </conditionalFormatting>
  <conditionalFormatting sqref="C8">
    <cfRule type="duplicateValues" dxfId="2795" priority="6644"/>
  </conditionalFormatting>
  <conditionalFormatting sqref="C8">
    <cfRule type="duplicateValues" dxfId="2794" priority="6643"/>
  </conditionalFormatting>
  <conditionalFormatting sqref="C8">
    <cfRule type="duplicateValues" dxfId="2793" priority="6642"/>
  </conditionalFormatting>
  <conditionalFormatting sqref="C8">
    <cfRule type="duplicateValues" dxfId="2792" priority="6641"/>
  </conditionalFormatting>
  <conditionalFormatting sqref="C8">
    <cfRule type="duplicateValues" dxfId="2791" priority="6640"/>
  </conditionalFormatting>
  <conditionalFormatting sqref="C8">
    <cfRule type="duplicateValues" dxfId="2790" priority="6639"/>
  </conditionalFormatting>
  <conditionalFormatting sqref="C8">
    <cfRule type="duplicateValues" dxfId="2789" priority="6638"/>
  </conditionalFormatting>
  <conditionalFormatting sqref="C8">
    <cfRule type="duplicateValues" dxfId="2788" priority="6637"/>
  </conditionalFormatting>
  <conditionalFormatting sqref="C8">
    <cfRule type="duplicateValues" dxfId="2787" priority="6636"/>
  </conditionalFormatting>
  <conditionalFormatting sqref="C8">
    <cfRule type="duplicateValues" dxfId="2786" priority="6635"/>
  </conditionalFormatting>
  <conditionalFormatting sqref="C8">
    <cfRule type="duplicateValues" dxfId="2785" priority="6634"/>
  </conditionalFormatting>
  <conditionalFormatting sqref="C8">
    <cfRule type="duplicateValues" dxfId="2784" priority="6633"/>
  </conditionalFormatting>
  <conditionalFormatting sqref="C8">
    <cfRule type="duplicateValues" dxfId="2783" priority="6632"/>
  </conditionalFormatting>
  <conditionalFormatting sqref="C8">
    <cfRule type="duplicateValues" dxfId="2782" priority="6631"/>
  </conditionalFormatting>
  <conditionalFormatting sqref="C8">
    <cfRule type="duplicateValues" dxfId="2781" priority="6630"/>
  </conditionalFormatting>
  <conditionalFormatting sqref="C8">
    <cfRule type="duplicateValues" dxfId="2780" priority="6629"/>
  </conditionalFormatting>
  <conditionalFormatting sqref="C8">
    <cfRule type="duplicateValues" dxfId="2779" priority="6628"/>
  </conditionalFormatting>
  <conditionalFormatting sqref="C8">
    <cfRule type="duplicateValues" dxfId="2778" priority="6627"/>
  </conditionalFormatting>
  <conditionalFormatting sqref="C8">
    <cfRule type="duplicateValues" dxfId="2777" priority="6625" stopIfTrue="1"/>
    <cfRule type="duplicateValues" dxfId="2776" priority="6626"/>
  </conditionalFormatting>
  <conditionalFormatting sqref="C8">
    <cfRule type="duplicateValues" dxfId="2775" priority="6624"/>
  </conditionalFormatting>
  <conditionalFormatting sqref="C8">
    <cfRule type="duplicateValues" dxfId="2774" priority="6623"/>
  </conditionalFormatting>
  <conditionalFormatting sqref="C8">
    <cfRule type="duplicateValues" dxfId="2773" priority="6622"/>
  </conditionalFormatting>
  <conditionalFormatting sqref="C8">
    <cfRule type="duplicateValues" dxfId="2772" priority="6621"/>
  </conditionalFormatting>
  <conditionalFormatting sqref="C8">
    <cfRule type="duplicateValues" dxfId="2771" priority="6619" stopIfTrue="1"/>
    <cfRule type="duplicateValues" dxfId="2770" priority="6620"/>
  </conditionalFormatting>
  <conditionalFormatting sqref="C8">
    <cfRule type="duplicateValues" dxfId="2769" priority="6618"/>
  </conditionalFormatting>
  <conditionalFormatting sqref="C8">
    <cfRule type="duplicateValues" dxfId="2768" priority="6617"/>
  </conditionalFormatting>
  <conditionalFormatting sqref="C8">
    <cfRule type="duplicateValues" dxfId="2767" priority="6616"/>
  </conditionalFormatting>
  <conditionalFormatting sqref="C8">
    <cfRule type="duplicateValues" dxfId="2766" priority="6615"/>
  </conditionalFormatting>
  <conditionalFormatting sqref="C8">
    <cfRule type="duplicateValues" dxfId="2765" priority="6614"/>
  </conditionalFormatting>
  <conditionalFormatting sqref="C8">
    <cfRule type="duplicateValues" dxfId="2764" priority="6613"/>
  </conditionalFormatting>
  <conditionalFormatting sqref="C8">
    <cfRule type="duplicateValues" dxfId="2763" priority="6612"/>
  </conditionalFormatting>
  <conditionalFormatting sqref="C8">
    <cfRule type="duplicateValues" dxfId="2762" priority="6611"/>
  </conditionalFormatting>
  <conditionalFormatting sqref="C8">
    <cfRule type="duplicateValues" dxfId="2761" priority="6610"/>
  </conditionalFormatting>
  <conditionalFormatting sqref="C8">
    <cfRule type="duplicateValues" dxfId="2760" priority="6609"/>
  </conditionalFormatting>
  <conditionalFormatting sqref="C8">
    <cfRule type="duplicateValues" dxfId="2759" priority="6607" stopIfTrue="1"/>
    <cfRule type="duplicateValues" dxfId="2758" priority="6608"/>
  </conditionalFormatting>
  <conditionalFormatting sqref="C8">
    <cfRule type="duplicateValues" dxfId="2757" priority="6606"/>
  </conditionalFormatting>
  <conditionalFormatting sqref="C8">
    <cfRule type="duplicateValues" dxfId="2756" priority="6604" stopIfTrue="1"/>
    <cfRule type="duplicateValues" dxfId="2755" priority="6605"/>
  </conditionalFormatting>
  <conditionalFormatting sqref="C8">
    <cfRule type="duplicateValues" dxfId="2754" priority="6603"/>
  </conditionalFormatting>
  <conditionalFormatting sqref="C8">
    <cfRule type="duplicateValues" dxfId="2753" priority="6601" stopIfTrue="1"/>
    <cfRule type="duplicateValues" dxfId="2752" priority="6602"/>
  </conditionalFormatting>
  <conditionalFormatting sqref="C8">
    <cfRule type="duplicateValues" dxfId="2751" priority="6600"/>
  </conditionalFormatting>
  <conditionalFormatting sqref="C8">
    <cfRule type="duplicateValues" dxfId="2750" priority="6598" stopIfTrue="1"/>
    <cfRule type="duplicateValues" dxfId="2749" priority="6599"/>
  </conditionalFormatting>
  <conditionalFormatting sqref="C8">
    <cfRule type="duplicateValues" dxfId="2748" priority="6597"/>
  </conditionalFormatting>
  <conditionalFormatting sqref="C8">
    <cfRule type="duplicateValues" dxfId="2747" priority="6595" stopIfTrue="1"/>
    <cfRule type="duplicateValues" dxfId="2746" priority="6596"/>
  </conditionalFormatting>
  <conditionalFormatting sqref="C8">
    <cfRule type="duplicateValues" dxfId="2745" priority="6594"/>
  </conditionalFormatting>
  <conditionalFormatting sqref="C8">
    <cfRule type="duplicateValues" dxfId="2744" priority="6593"/>
  </conditionalFormatting>
  <conditionalFormatting sqref="C8">
    <cfRule type="duplicateValues" dxfId="2743" priority="6592"/>
  </conditionalFormatting>
  <conditionalFormatting sqref="C8">
    <cfRule type="duplicateValues" dxfId="2742" priority="6591"/>
  </conditionalFormatting>
  <conditionalFormatting sqref="C8">
    <cfRule type="duplicateValues" dxfId="2741" priority="6590"/>
  </conditionalFormatting>
  <conditionalFormatting sqref="C8">
    <cfRule type="duplicateValues" dxfId="2740" priority="6589"/>
  </conditionalFormatting>
  <conditionalFormatting sqref="C8">
    <cfRule type="duplicateValues" dxfId="2739" priority="6587" stopIfTrue="1"/>
    <cfRule type="duplicateValues" dxfId="2738" priority="6588"/>
  </conditionalFormatting>
  <conditionalFormatting sqref="C8">
    <cfRule type="duplicateValues" dxfId="2737" priority="6586"/>
  </conditionalFormatting>
  <conditionalFormatting sqref="C8">
    <cfRule type="duplicateValues" dxfId="2736" priority="6584" stopIfTrue="1"/>
    <cfRule type="duplicateValues" dxfId="2735" priority="6585"/>
  </conditionalFormatting>
  <conditionalFormatting sqref="C8">
    <cfRule type="duplicateValues" dxfId="2734" priority="6583"/>
  </conditionalFormatting>
  <conditionalFormatting sqref="C8">
    <cfRule type="duplicateValues" dxfId="2733" priority="6581" stopIfTrue="1"/>
    <cfRule type="duplicateValues" dxfId="2732" priority="6582"/>
  </conditionalFormatting>
  <conditionalFormatting sqref="C8">
    <cfRule type="duplicateValues" dxfId="2731" priority="6580"/>
  </conditionalFormatting>
  <conditionalFormatting sqref="C8">
    <cfRule type="duplicateValues" dxfId="2730" priority="6578" stopIfTrue="1"/>
    <cfRule type="duplicateValues" dxfId="2729" priority="6579"/>
  </conditionalFormatting>
  <conditionalFormatting sqref="C8">
    <cfRule type="duplicateValues" dxfId="2728" priority="6577"/>
  </conditionalFormatting>
  <conditionalFormatting sqref="C8">
    <cfRule type="duplicateValues" dxfId="2727" priority="6575" stopIfTrue="1"/>
    <cfRule type="duplicateValues" dxfId="2726" priority="6576"/>
  </conditionalFormatting>
  <conditionalFormatting sqref="C8">
    <cfRule type="duplicateValues" dxfId="2725" priority="6574"/>
  </conditionalFormatting>
  <conditionalFormatting sqref="C8">
    <cfRule type="duplicateValues" dxfId="2724" priority="6573"/>
  </conditionalFormatting>
  <conditionalFormatting sqref="C8">
    <cfRule type="duplicateValues" dxfId="2723" priority="6572"/>
  </conditionalFormatting>
  <conditionalFormatting sqref="C8">
    <cfRule type="duplicateValues" dxfId="2722" priority="6571"/>
  </conditionalFormatting>
  <conditionalFormatting sqref="C8">
    <cfRule type="duplicateValues" dxfId="2721" priority="6570"/>
  </conditionalFormatting>
  <conditionalFormatting sqref="C8">
    <cfRule type="duplicateValues" dxfId="2720" priority="6569"/>
  </conditionalFormatting>
  <conditionalFormatting sqref="C8">
    <cfRule type="duplicateValues" dxfId="2719" priority="6567" stopIfTrue="1"/>
    <cfRule type="duplicateValues" dxfId="2718" priority="6568"/>
  </conditionalFormatting>
  <conditionalFormatting sqref="C8">
    <cfRule type="duplicateValues" dxfId="2717" priority="6566"/>
  </conditionalFormatting>
  <conditionalFormatting sqref="C8">
    <cfRule type="duplicateValues" dxfId="2716" priority="6564" stopIfTrue="1"/>
    <cfRule type="duplicateValues" dxfId="2715" priority="6565"/>
  </conditionalFormatting>
  <conditionalFormatting sqref="C8">
    <cfRule type="duplicateValues" dxfId="2714" priority="6563"/>
  </conditionalFormatting>
  <conditionalFormatting sqref="C8">
    <cfRule type="duplicateValues" dxfId="2713" priority="6561" stopIfTrue="1"/>
    <cfRule type="duplicateValues" dxfId="2712" priority="6562"/>
  </conditionalFormatting>
  <conditionalFormatting sqref="C8">
    <cfRule type="duplicateValues" dxfId="2711" priority="6560"/>
  </conditionalFormatting>
  <conditionalFormatting sqref="C8">
    <cfRule type="duplicateValues" dxfId="2710" priority="6558" stopIfTrue="1"/>
    <cfRule type="duplicateValues" dxfId="2709" priority="6559"/>
  </conditionalFormatting>
  <conditionalFormatting sqref="C8">
    <cfRule type="duplicateValues" dxfId="2708" priority="6557"/>
  </conditionalFormatting>
  <conditionalFormatting sqref="C8">
    <cfRule type="duplicateValues" dxfId="2707" priority="6555" stopIfTrue="1"/>
    <cfRule type="duplicateValues" dxfId="2706" priority="6556"/>
  </conditionalFormatting>
  <conditionalFormatting sqref="C8">
    <cfRule type="duplicateValues" dxfId="2705" priority="6554"/>
  </conditionalFormatting>
  <conditionalFormatting sqref="C8">
    <cfRule type="duplicateValues" dxfId="2704" priority="6553"/>
  </conditionalFormatting>
  <conditionalFormatting sqref="C8">
    <cfRule type="duplicateValues" dxfId="2703" priority="6552"/>
  </conditionalFormatting>
  <conditionalFormatting sqref="C8">
    <cfRule type="duplicateValues" dxfId="2702" priority="6551"/>
  </conditionalFormatting>
  <conditionalFormatting sqref="C8">
    <cfRule type="duplicateValues" dxfId="2701" priority="6550"/>
  </conditionalFormatting>
  <conditionalFormatting sqref="C8">
    <cfRule type="duplicateValues" dxfId="2700" priority="6549"/>
  </conditionalFormatting>
  <conditionalFormatting sqref="C8">
    <cfRule type="duplicateValues" dxfId="2699" priority="6547" stopIfTrue="1"/>
    <cfRule type="duplicateValues" dxfId="2698" priority="6548"/>
  </conditionalFormatting>
  <conditionalFormatting sqref="C8">
    <cfRule type="duplicateValues" dxfId="2697" priority="6546"/>
  </conditionalFormatting>
  <conditionalFormatting sqref="C8">
    <cfRule type="duplicateValues" dxfId="2696" priority="6544" stopIfTrue="1"/>
    <cfRule type="duplicateValues" dxfId="2695" priority="6545"/>
  </conditionalFormatting>
  <conditionalFormatting sqref="C8">
    <cfRule type="duplicateValues" dxfId="2694" priority="6543"/>
  </conditionalFormatting>
  <conditionalFormatting sqref="C8">
    <cfRule type="duplicateValues" dxfId="2693" priority="6541" stopIfTrue="1"/>
    <cfRule type="duplicateValues" dxfId="2692" priority="6542"/>
  </conditionalFormatting>
  <conditionalFormatting sqref="C8">
    <cfRule type="duplicateValues" dxfId="2691" priority="6540"/>
  </conditionalFormatting>
  <conditionalFormatting sqref="C8">
    <cfRule type="duplicateValues" dxfId="2690" priority="6538" stopIfTrue="1"/>
    <cfRule type="duplicateValues" dxfId="2689" priority="6539"/>
  </conditionalFormatting>
  <conditionalFormatting sqref="C8">
    <cfRule type="duplicateValues" dxfId="2688" priority="6537"/>
  </conditionalFormatting>
  <conditionalFormatting sqref="C8">
    <cfRule type="duplicateValues" dxfId="2687" priority="6535" stopIfTrue="1"/>
    <cfRule type="duplicateValues" dxfId="2686" priority="6536"/>
  </conditionalFormatting>
  <conditionalFormatting sqref="C8">
    <cfRule type="duplicateValues" dxfId="2685" priority="6534"/>
  </conditionalFormatting>
  <conditionalFormatting sqref="C8">
    <cfRule type="duplicateValues" dxfId="2684" priority="6533"/>
  </conditionalFormatting>
  <conditionalFormatting sqref="C8">
    <cfRule type="duplicateValues" dxfId="2683" priority="6532"/>
  </conditionalFormatting>
  <conditionalFormatting sqref="C8">
    <cfRule type="duplicateValues" dxfId="2682" priority="6531"/>
  </conditionalFormatting>
  <conditionalFormatting sqref="C8">
    <cfRule type="duplicateValues" dxfId="2681" priority="6530"/>
  </conditionalFormatting>
  <conditionalFormatting sqref="C8">
    <cfRule type="duplicateValues" dxfId="2680" priority="6529"/>
  </conditionalFormatting>
  <conditionalFormatting sqref="C8">
    <cfRule type="duplicateValues" dxfId="2679" priority="6528"/>
  </conditionalFormatting>
  <conditionalFormatting sqref="C8">
    <cfRule type="duplicateValues" dxfId="2678" priority="6527"/>
  </conditionalFormatting>
  <conditionalFormatting sqref="C8">
    <cfRule type="duplicateValues" dxfId="2677" priority="6526"/>
  </conditionalFormatting>
  <conditionalFormatting sqref="C8">
    <cfRule type="duplicateValues" dxfId="2676" priority="6525"/>
  </conditionalFormatting>
  <conditionalFormatting sqref="C8">
    <cfRule type="duplicateValues" dxfId="2675" priority="6524"/>
  </conditionalFormatting>
  <conditionalFormatting sqref="C8">
    <cfRule type="duplicateValues" dxfId="2674" priority="6523"/>
  </conditionalFormatting>
  <conditionalFormatting sqref="C8">
    <cfRule type="duplicateValues" dxfId="2673" priority="6522"/>
  </conditionalFormatting>
  <conditionalFormatting sqref="C8">
    <cfRule type="duplicateValues" dxfId="2672" priority="6521"/>
  </conditionalFormatting>
  <conditionalFormatting sqref="C8">
    <cfRule type="duplicateValues" dxfId="2671" priority="6520"/>
  </conditionalFormatting>
  <conditionalFormatting sqref="C8">
    <cfRule type="duplicateValues" dxfId="2670" priority="6519"/>
  </conditionalFormatting>
  <conditionalFormatting sqref="C8">
    <cfRule type="duplicateValues" dxfId="2669" priority="6518"/>
  </conditionalFormatting>
  <conditionalFormatting sqref="C8">
    <cfRule type="duplicateValues" dxfId="2668" priority="6517"/>
  </conditionalFormatting>
  <conditionalFormatting sqref="C8">
    <cfRule type="duplicateValues" dxfId="2667" priority="6516"/>
  </conditionalFormatting>
  <conditionalFormatting sqref="C8">
    <cfRule type="duplicateValues" dxfId="2666" priority="6515"/>
  </conditionalFormatting>
  <conditionalFormatting sqref="C8">
    <cfRule type="duplicateValues" dxfId="2665" priority="6514"/>
  </conditionalFormatting>
  <conditionalFormatting sqref="C8">
    <cfRule type="duplicateValues" dxfId="2664" priority="6513"/>
  </conditionalFormatting>
  <conditionalFormatting sqref="C8">
    <cfRule type="duplicateValues" dxfId="2663" priority="6512"/>
  </conditionalFormatting>
  <conditionalFormatting sqref="C8">
    <cfRule type="duplicateValues" dxfId="2662" priority="6511"/>
  </conditionalFormatting>
  <conditionalFormatting sqref="C8">
    <cfRule type="duplicateValues" dxfId="2661" priority="6510"/>
  </conditionalFormatting>
  <conditionalFormatting sqref="C8">
    <cfRule type="duplicateValues" dxfId="2660" priority="6509"/>
  </conditionalFormatting>
  <conditionalFormatting sqref="C8">
    <cfRule type="duplicateValues" dxfId="2659" priority="6508"/>
  </conditionalFormatting>
  <conditionalFormatting sqref="C8">
    <cfRule type="duplicateValues" dxfId="2658" priority="6507"/>
  </conditionalFormatting>
  <conditionalFormatting sqref="C8">
    <cfRule type="duplicateValues" dxfId="2657" priority="6506"/>
  </conditionalFormatting>
  <conditionalFormatting sqref="C8">
    <cfRule type="duplicateValues" dxfId="2656" priority="6505"/>
  </conditionalFormatting>
  <conditionalFormatting sqref="C8">
    <cfRule type="duplicateValues" dxfId="2655" priority="6504"/>
  </conditionalFormatting>
  <conditionalFormatting sqref="C8">
    <cfRule type="duplicateValues" dxfId="2654" priority="6503"/>
  </conditionalFormatting>
  <conditionalFormatting sqref="C8">
    <cfRule type="duplicateValues" dxfId="2653" priority="6502"/>
  </conditionalFormatting>
  <conditionalFormatting sqref="C8">
    <cfRule type="duplicateValues" dxfId="2652" priority="6501"/>
  </conditionalFormatting>
  <conditionalFormatting sqref="C8">
    <cfRule type="duplicateValues" dxfId="2651" priority="6500"/>
  </conditionalFormatting>
  <conditionalFormatting sqref="C8">
    <cfRule type="duplicateValues" dxfId="2650" priority="6499"/>
  </conditionalFormatting>
  <conditionalFormatting sqref="C8">
    <cfRule type="duplicateValues" dxfId="2649" priority="6498"/>
  </conditionalFormatting>
  <conditionalFormatting sqref="C8">
    <cfRule type="duplicateValues" dxfId="2648" priority="6497"/>
  </conditionalFormatting>
  <conditionalFormatting sqref="C8">
    <cfRule type="duplicateValues" dxfId="2647" priority="6496"/>
  </conditionalFormatting>
  <conditionalFormatting sqref="C8">
    <cfRule type="duplicateValues" dxfId="2646" priority="6495"/>
  </conditionalFormatting>
  <conditionalFormatting sqref="C8">
    <cfRule type="duplicateValues" dxfId="2645" priority="6493" stopIfTrue="1"/>
    <cfRule type="duplicateValues" dxfId="2644" priority="6494"/>
  </conditionalFormatting>
  <conditionalFormatting sqref="C8">
    <cfRule type="duplicateValues" dxfId="2643" priority="6492"/>
  </conditionalFormatting>
  <conditionalFormatting sqref="C8">
    <cfRule type="duplicateValues" dxfId="2642" priority="6491"/>
  </conditionalFormatting>
  <conditionalFormatting sqref="C8">
    <cfRule type="duplicateValues" dxfId="2641" priority="6490"/>
  </conditionalFormatting>
  <conditionalFormatting sqref="C8">
    <cfRule type="duplicateValues" dxfId="2640" priority="6489"/>
  </conditionalFormatting>
  <conditionalFormatting sqref="C8">
    <cfRule type="duplicateValues" dxfId="2639" priority="6487" stopIfTrue="1"/>
    <cfRule type="duplicateValues" dxfId="2638" priority="6488"/>
  </conditionalFormatting>
  <conditionalFormatting sqref="C8">
    <cfRule type="duplicateValues" dxfId="2637" priority="6486"/>
  </conditionalFormatting>
  <conditionalFormatting sqref="C8">
    <cfRule type="duplicateValues" dxfId="2636" priority="6484" stopIfTrue="1"/>
    <cfRule type="duplicateValues" dxfId="2635" priority="6485"/>
  </conditionalFormatting>
  <conditionalFormatting sqref="C8">
    <cfRule type="duplicateValues" dxfId="2634" priority="6483"/>
  </conditionalFormatting>
  <conditionalFormatting sqref="C8">
    <cfRule type="duplicateValues" dxfId="2633" priority="6481" stopIfTrue="1"/>
    <cfRule type="duplicateValues" dxfId="2632" priority="6482"/>
  </conditionalFormatting>
  <conditionalFormatting sqref="C8">
    <cfRule type="duplicateValues" dxfId="2631" priority="6480"/>
  </conditionalFormatting>
  <conditionalFormatting sqref="C8">
    <cfRule type="duplicateValues" dxfId="2630" priority="6478" stopIfTrue="1"/>
    <cfRule type="duplicateValues" dxfId="2629" priority="6479"/>
  </conditionalFormatting>
  <conditionalFormatting sqref="C8">
    <cfRule type="duplicateValues" dxfId="2628" priority="6477"/>
  </conditionalFormatting>
  <conditionalFormatting sqref="C8">
    <cfRule type="duplicateValues" dxfId="2627" priority="6475" stopIfTrue="1"/>
    <cfRule type="duplicateValues" dxfId="2626" priority="6476"/>
  </conditionalFormatting>
  <conditionalFormatting sqref="C8">
    <cfRule type="duplicateValues" dxfId="2625" priority="6474"/>
  </conditionalFormatting>
  <conditionalFormatting sqref="C8">
    <cfRule type="duplicateValues" dxfId="2624" priority="6473"/>
  </conditionalFormatting>
  <conditionalFormatting sqref="C8">
    <cfRule type="duplicateValues" dxfId="2623" priority="6472"/>
  </conditionalFormatting>
  <conditionalFormatting sqref="C8">
    <cfRule type="duplicateValues" dxfId="2622" priority="6471"/>
  </conditionalFormatting>
  <conditionalFormatting sqref="C8">
    <cfRule type="duplicateValues" dxfId="2621" priority="6470"/>
  </conditionalFormatting>
  <conditionalFormatting sqref="C8">
    <cfRule type="duplicateValues" dxfId="2620" priority="6469"/>
  </conditionalFormatting>
  <conditionalFormatting sqref="C8">
    <cfRule type="duplicateValues" dxfId="2619" priority="6467" stopIfTrue="1"/>
    <cfRule type="duplicateValues" dxfId="2618" priority="6468"/>
  </conditionalFormatting>
  <conditionalFormatting sqref="C8">
    <cfRule type="duplicateValues" dxfId="2617" priority="6466"/>
  </conditionalFormatting>
  <conditionalFormatting sqref="C8">
    <cfRule type="duplicateValues" dxfId="2616" priority="6464" stopIfTrue="1"/>
    <cfRule type="duplicateValues" dxfId="2615" priority="6465"/>
  </conditionalFormatting>
  <conditionalFormatting sqref="C8">
    <cfRule type="duplicateValues" dxfId="2614" priority="6463"/>
  </conditionalFormatting>
  <conditionalFormatting sqref="C8">
    <cfRule type="duplicateValues" dxfId="2613" priority="6461" stopIfTrue="1"/>
    <cfRule type="duplicateValues" dxfId="2612" priority="6462"/>
  </conditionalFormatting>
  <conditionalFormatting sqref="C8">
    <cfRule type="duplicateValues" dxfId="2611" priority="6460"/>
  </conditionalFormatting>
  <conditionalFormatting sqref="C8">
    <cfRule type="duplicateValues" dxfId="2610" priority="6458" stopIfTrue="1"/>
    <cfRule type="duplicateValues" dxfId="2609" priority="6459"/>
  </conditionalFormatting>
  <conditionalFormatting sqref="C8">
    <cfRule type="duplicateValues" dxfId="2608" priority="6457"/>
  </conditionalFormatting>
  <conditionalFormatting sqref="C8">
    <cfRule type="duplicateValues" dxfId="2607" priority="6455" stopIfTrue="1"/>
    <cfRule type="duplicateValues" dxfId="2606" priority="6456"/>
  </conditionalFormatting>
  <conditionalFormatting sqref="C8">
    <cfRule type="duplicateValues" dxfId="2605" priority="6454"/>
  </conditionalFormatting>
  <conditionalFormatting sqref="C8">
    <cfRule type="duplicateValues" dxfId="2604" priority="6453"/>
  </conditionalFormatting>
  <conditionalFormatting sqref="C8">
    <cfRule type="duplicateValues" dxfId="2603" priority="6452"/>
  </conditionalFormatting>
  <conditionalFormatting sqref="C8">
    <cfRule type="duplicateValues" dxfId="2602" priority="6451"/>
  </conditionalFormatting>
  <conditionalFormatting sqref="C8">
    <cfRule type="duplicateValues" dxfId="2601" priority="6450"/>
  </conditionalFormatting>
  <conditionalFormatting sqref="C8">
    <cfRule type="duplicateValues" dxfId="2600" priority="6449"/>
  </conditionalFormatting>
  <conditionalFormatting sqref="C8">
    <cfRule type="duplicateValues" dxfId="2599" priority="6447" stopIfTrue="1"/>
    <cfRule type="duplicateValues" dxfId="2598" priority="6448"/>
  </conditionalFormatting>
  <conditionalFormatting sqref="C8">
    <cfRule type="duplicateValues" dxfId="2597" priority="6446"/>
  </conditionalFormatting>
  <conditionalFormatting sqref="C8">
    <cfRule type="duplicateValues" dxfId="2596" priority="6444" stopIfTrue="1"/>
    <cfRule type="duplicateValues" dxfId="2595" priority="6445"/>
  </conditionalFormatting>
  <conditionalFormatting sqref="C8">
    <cfRule type="duplicateValues" dxfId="2594" priority="6443"/>
  </conditionalFormatting>
  <conditionalFormatting sqref="C8">
    <cfRule type="duplicateValues" dxfId="2593" priority="6441" stopIfTrue="1"/>
    <cfRule type="duplicateValues" dxfId="2592" priority="6442"/>
  </conditionalFormatting>
  <conditionalFormatting sqref="C8">
    <cfRule type="duplicateValues" dxfId="2591" priority="6440"/>
  </conditionalFormatting>
  <conditionalFormatting sqref="C8">
    <cfRule type="duplicateValues" dxfId="2590" priority="6438" stopIfTrue="1"/>
    <cfRule type="duplicateValues" dxfId="2589" priority="6439"/>
  </conditionalFormatting>
  <conditionalFormatting sqref="C8">
    <cfRule type="duplicateValues" dxfId="2588" priority="6437"/>
  </conditionalFormatting>
  <conditionalFormatting sqref="C8">
    <cfRule type="duplicateValues" dxfId="2587" priority="6435" stopIfTrue="1"/>
    <cfRule type="duplicateValues" dxfId="2586" priority="6436"/>
  </conditionalFormatting>
  <conditionalFormatting sqref="C8">
    <cfRule type="duplicateValues" dxfId="2585" priority="6434"/>
  </conditionalFormatting>
  <conditionalFormatting sqref="C8">
    <cfRule type="duplicateValues" dxfId="2584" priority="6433"/>
  </conditionalFormatting>
  <conditionalFormatting sqref="C8">
    <cfRule type="duplicateValues" dxfId="2583" priority="6432"/>
  </conditionalFormatting>
  <conditionalFormatting sqref="C8">
    <cfRule type="duplicateValues" dxfId="2582" priority="6431"/>
  </conditionalFormatting>
  <conditionalFormatting sqref="C8">
    <cfRule type="duplicateValues" dxfId="2581" priority="6430"/>
  </conditionalFormatting>
  <conditionalFormatting sqref="C8">
    <cfRule type="duplicateValues" dxfId="2580" priority="6429"/>
  </conditionalFormatting>
  <conditionalFormatting sqref="C8">
    <cfRule type="duplicateValues" dxfId="2579" priority="6428"/>
  </conditionalFormatting>
  <conditionalFormatting sqref="C8">
    <cfRule type="duplicateValues" dxfId="2578" priority="6427"/>
  </conditionalFormatting>
  <conditionalFormatting sqref="C8">
    <cfRule type="duplicateValues" dxfId="2577" priority="6426"/>
  </conditionalFormatting>
  <conditionalFormatting sqref="C8">
    <cfRule type="duplicateValues" dxfId="2576" priority="6425"/>
  </conditionalFormatting>
  <conditionalFormatting sqref="C8">
    <cfRule type="duplicateValues" dxfId="2575" priority="6424"/>
  </conditionalFormatting>
  <conditionalFormatting sqref="C8">
    <cfRule type="duplicateValues" dxfId="2574" priority="6423"/>
  </conditionalFormatting>
  <conditionalFormatting sqref="C8">
    <cfRule type="duplicateValues" dxfId="2573" priority="6422"/>
  </conditionalFormatting>
  <conditionalFormatting sqref="C8">
    <cfRule type="duplicateValues" dxfId="2572" priority="6421"/>
  </conditionalFormatting>
  <conditionalFormatting sqref="C8">
    <cfRule type="duplicateValues" dxfId="2571" priority="6420"/>
  </conditionalFormatting>
  <conditionalFormatting sqref="C8">
    <cfRule type="duplicateValues" dxfId="2570" priority="6419"/>
  </conditionalFormatting>
  <conditionalFormatting sqref="C8">
    <cfRule type="duplicateValues" dxfId="2569" priority="6418"/>
  </conditionalFormatting>
  <conditionalFormatting sqref="C8">
    <cfRule type="duplicateValues" dxfId="2568" priority="6417"/>
  </conditionalFormatting>
  <conditionalFormatting sqref="C8">
    <cfRule type="duplicateValues" dxfId="2567" priority="6416"/>
  </conditionalFormatting>
  <conditionalFormatting sqref="C8">
    <cfRule type="duplicateValues" dxfId="2566" priority="6415"/>
  </conditionalFormatting>
  <conditionalFormatting sqref="C8">
    <cfRule type="duplicateValues" dxfId="2565" priority="6414"/>
  </conditionalFormatting>
  <conditionalFormatting sqref="C8">
    <cfRule type="duplicateValues" dxfId="2564" priority="6413"/>
  </conditionalFormatting>
  <conditionalFormatting sqref="C8">
    <cfRule type="duplicateValues" dxfId="2563" priority="6412"/>
  </conditionalFormatting>
  <conditionalFormatting sqref="C8">
    <cfRule type="duplicateValues" dxfId="2562" priority="6411"/>
  </conditionalFormatting>
  <conditionalFormatting sqref="C8">
    <cfRule type="duplicateValues" dxfId="2561" priority="6410"/>
  </conditionalFormatting>
  <conditionalFormatting sqref="C8">
    <cfRule type="duplicateValues" dxfId="2560" priority="6409"/>
  </conditionalFormatting>
  <conditionalFormatting sqref="C8">
    <cfRule type="duplicateValues" dxfId="2559" priority="6408"/>
  </conditionalFormatting>
  <conditionalFormatting sqref="C8">
    <cfRule type="duplicateValues" dxfId="2558" priority="6407"/>
  </conditionalFormatting>
  <conditionalFormatting sqref="C8">
    <cfRule type="duplicateValues" dxfId="2557" priority="6406"/>
  </conditionalFormatting>
  <conditionalFormatting sqref="C8">
    <cfRule type="duplicateValues" dxfId="2556" priority="6405"/>
  </conditionalFormatting>
  <conditionalFormatting sqref="C8">
    <cfRule type="duplicateValues" dxfId="2555" priority="6404"/>
  </conditionalFormatting>
  <conditionalFormatting sqref="C8">
    <cfRule type="duplicateValues" dxfId="2554" priority="6403"/>
  </conditionalFormatting>
  <conditionalFormatting sqref="C8">
    <cfRule type="duplicateValues" dxfId="2553" priority="6402"/>
  </conditionalFormatting>
  <conditionalFormatting sqref="C8">
    <cfRule type="duplicateValues" dxfId="2552" priority="6401"/>
  </conditionalFormatting>
  <conditionalFormatting sqref="C8">
    <cfRule type="duplicateValues" dxfId="2551" priority="6400"/>
  </conditionalFormatting>
  <conditionalFormatting sqref="C8">
    <cfRule type="duplicateValues" dxfId="2550" priority="6399"/>
  </conditionalFormatting>
  <conditionalFormatting sqref="C8">
    <cfRule type="duplicateValues" dxfId="2549" priority="6398"/>
  </conditionalFormatting>
  <conditionalFormatting sqref="C8">
    <cfRule type="duplicateValues" dxfId="2548" priority="6397"/>
  </conditionalFormatting>
  <conditionalFormatting sqref="C8">
    <cfRule type="duplicateValues" dxfId="2547" priority="6396"/>
  </conditionalFormatting>
  <conditionalFormatting sqref="C8">
    <cfRule type="duplicateValues" dxfId="2546" priority="6395"/>
  </conditionalFormatting>
  <conditionalFormatting sqref="C8">
    <cfRule type="duplicateValues" dxfId="2545" priority="6393" stopIfTrue="1"/>
    <cfRule type="duplicateValues" dxfId="2544" priority="6394"/>
  </conditionalFormatting>
  <conditionalFormatting sqref="C8">
    <cfRule type="duplicateValues" dxfId="2543" priority="6392"/>
  </conditionalFormatting>
  <conditionalFormatting sqref="C8">
    <cfRule type="duplicateValues" dxfId="2542" priority="6391"/>
  </conditionalFormatting>
  <conditionalFormatting sqref="C8">
    <cfRule type="duplicateValues" dxfId="2541" priority="6390"/>
  </conditionalFormatting>
  <conditionalFormatting sqref="C8">
    <cfRule type="duplicateValues" dxfId="2540" priority="6389"/>
  </conditionalFormatting>
  <conditionalFormatting sqref="C8">
    <cfRule type="duplicateValues" dxfId="2539" priority="6387" stopIfTrue="1"/>
    <cfRule type="duplicateValues" dxfId="2538" priority="6388"/>
  </conditionalFormatting>
  <conditionalFormatting sqref="C8">
    <cfRule type="duplicateValues" dxfId="2537" priority="6386"/>
  </conditionalFormatting>
  <conditionalFormatting sqref="C8">
    <cfRule type="duplicateValues" dxfId="2536" priority="6384" stopIfTrue="1"/>
    <cfRule type="duplicateValues" dxfId="2535" priority="6385"/>
  </conditionalFormatting>
  <conditionalFormatting sqref="C8">
    <cfRule type="duplicateValues" dxfId="2534" priority="6383"/>
  </conditionalFormatting>
  <conditionalFormatting sqref="C8">
    <cfRule type="duplicateValues" dxfId="2533" priority="6381" stopIfTrue="1"/>
    <cfRule type="duplicateValues" dxfId="2532" priority="6382"/>
  </conditionalFormatting>
  <conditionalFormatting sqref="C8">
    <cfRule type="duplicateValues" dxfId="2531" priority="6380"/>
  </conditionalFormatting>
  <conditionalFormatting sqref="C8">
    <cfRule type="duplicateValues" dxfId="2530" priority="6378" stopIfTrue="1"/>
    <cfRule type="duplicateValues" dxfId="2529" priority="6379"/>
  </conditionalFormatting>
  <conditionalFormatting sqref="C8">
    <cfRule type="duplicateValues" dxfId="2528" priority="6377"/>
  </conditionalFormatting>
  <conditionalFormatting sqref="C8">
    <cfRule type="duplicateValues" dxfId="2527" priority="6375" stopIfTrue="1"/>
    <cfRule type="duplicateValues" dxfId="2526" priority="6376"/>
  </conditionalFormatting>
  <conditionalFormatting sqref="C8">
    <cfRule type="duplicateValues" dxfId="2525" priority="6374"/>
  </conditionalFormatting>
  <conditionalFormatting sqref="C8">
    <cfRule type="duplicateValues" dxfId="2524" priority="6373"/>
  </conditionalFormatting>
  <conditionalFormatting sqref="C8">
    <cfRule type="duplicateValues" dxfId="2523" priority="6372"/>
  </conditionalFormatting>
  <conditionalFormatting sqref="C8">
    <cfRule type="duplicateValues" dxfId="2522" priority="6371"/>
  </conditionalFormatting>
  <conditionalFormatting sqref="C8">
    <cfRule type="duplicateValues" dxfId="2521" priority="6370"/>
  </conditionalFormatting>
  <conditionalFormatting sqref="C8">
    <cfRule type="duplicateValues" dxfId="2520" priority="6369"/>
  </conditionalFormatting>
  <conditionalFormatting sqref="C8">
    <cfRule type="duplicateValues" dxfId="2519" priority="6367" stopIfTrue="1"/>
    <cfRule type="duplicateValues" dxfId="2518" priority="6368"/>
  </conditionalFormatting>
  <conditionalFormatting sqref="C8">
    <cfRule type="duplicateValues" dxfId="2517" priority="6366"/>
  </conditionalFormatting>
  <conditionalFormatting sqref="C8">
    <cfRule type="duplicateValues" dxfId="2516" priority="6364" stopIfTrue="1"/>
    <cfRule type="duplicateValues" dxfId="2515" priority="6365"/>
  </conditionalFormatting>
  <conditionalFormatting sqref="C8">
    <cfRule type="duplicateValues" dxfId="2514" priority="6363"/>
  </conditionalFormatting>
  <conditionalFormatting sqref="C8">
    <cfRule type="duplicateValues" dxfId="2513" priority="6361" stopIfTrue="1"/>
    <cfRule type="duplicateValues" dxfId="2512" priority="6362"/>
  </conditionalFormatting>
  <conditionalFormatting sqref="C8">
    <cfRule type="duplicateValues" dxfId="2511" priority="6360"/>
  </conditionalFormatting>
  <conditionalFormatting sqref="C8">
    <cfRule type="duplicateValues" dxfId="2510" priority="6358" stopIfTrue="1"/>
    <cfRule type="duplicateValues" dxfId="2509" priority="6359"/>
  </conditionalFormatting>
  <conditionalFormatting sqref="C8">
    <cfRule type="duplicateValues" dxfId="2508" priority="6357"/>
  </conditionalFormatting>
  <conditionalFormatting sqref="C8">
    <cfRule type="duplicateValues" dxfId="2507" priority="6355" stopIfTrue="1"/>
    <cfRule type="duplicateValues" dxfId="2506" priority="6356"/>
  </conditionalFormatting>
  <conditionalFormatting sqref="C8">
    <cfRule type="duplicateValues" dxfId="2505" priority="6354"/>
  </conditionalFormatting>
  <conditionalFormatting sqref="C8">
    <cfRule type="duplicateValues" dxfId="2504" priority="6353"/>
  </conditionalFormatting>
  <conditionalFormatting sqref="C8">
    <cfRule type="duplicateValues" dxfId="2503" priority="6352"/>
  </conditionalFormatting>
  <conditionalFormatting sqref="C8">
    <cfRule type="duplicateValues" dxfId="2502" priority="6351"/>
  </conditionalFormatting>
  <conditionalFormatting sqref="C8">
    <cfRule type="duplicateValues" dxfId="2501" priority="6350"/>
  </conditionalFormatting>
  <conditionalFormatting sqref="C8">
    <cfRule type="duplicateValues" dxfId="2500" priority="6349"/>
  </conditionalFormatting>
  <conditionalFormatting sqref="C8">
    <cfRule type="duplicateValues" dxfId="2499" priority="6348"/>
  </conditionalFormatting>
  <conditionalFormatting sqref="C8">
    <cfRule type="duplicateValues" dxfId="2498" priority="6347"/>
  </conditionalFormatting>
  <conditionalFormatting sqref="C8">
    <cfRule type="duplicateValues" dxfId="2497" priority="6346"/>
  </conditionalFormatting>
  <conditionalFormatting sqref="C8">
    <cfRule type="duplicateValues" dxfId="2496" priority="6345"/>
  </conditionalFormatting>
  <conditionalFormatting sqref="C8">
    <cfRule type="duplicateValues" dxfId="2495" priority="6344"/>
  </conditionalFormatting>
  <conditionalFormatting sqref="C8">
    <cfRule type="duplicateValues" dxfId="2494" priority="6343"/>
  </conditionalFormatting>
  <conditionalFormatting sqref="C8">
    <cfRule type="duplicateValues" dxfId="2493" priority="6342"/>
  </conditionalFormatting>
  <conditionalFormatting sqref="C8">
    <cfRule type="duplicateValues" dxfId="2492" priority="6341"/>
  </conditionalFormatting>
  <conditionalFormatting sqref="C8">
    <cfRule type="duplicateValues" dxfId="2491" priority="6340"/>
  </conditionalFormatting>
  <conditionalFormatting sqref="C8">
    <cfRule type="duplicateValues" dxfId="2490" priority="6339"/>
  </conditionalFormatting>
  <conditionalFormatting sqref="C8">
    <cfRule type="duplicateValues" dxfId="2489" priority="6338"/>
  </conditionalFormatting>
  <conditionalFormatting sqref="C8">
    <cfRule type="duplicateValues" dxfId="2488" priority="6337"/>
  </conditionalFormatting>
  <conditionalFormatting sqref="C8">
    <cfRule type="duplicateValues" dxfId="2487" priority="6336"/>
  </conditionalFormatting>
  <conditionalFormatting sqref="C8">
    <cfRule type="duplicateValues" dxfId="2486" priority="6335"/>
  </conditionalFormatting>
  <conditionalFormatting sqref="C8">
    <cfRule type="duplicateValues" dxfId="2485" priority="6334"/>
  </conditionalFormatting>
  <conditionalFormatting sqref="C8">
    <cfRule type="duplicateValues" dxfId="2484" priority="6333"/>
  </conditionalFormatting>
  <conditionalFormatting sqref="C8">
    <cfRule type="duplicateValues" dxfId="2483" priority="6332"/>
  </conditionalFormatting>
  <conditionalFormatting sqref="C8">
    <cfRule type="duplicateValues" dxfId="2482" priority="6331"/>
  </conditionalFormatting>
  <conditionalFormatting sqref="C8">
    <cfRule type="duplicateValues" dxfId="2481" priority="6330"/>
  </conditionalFormatting>
  <conditionalFormatting sqref="C8">
    <cfRule type="duplicateValues" dxfId="2480" priority="6329"/>
  </conditionalFormatting>
  <conditionalFormatting sqref="C8">
    <cfRule type="duplicateValues" dxfId="2479" priority="6328"/>
  </conditionalFormatting>
  <conditionalFormatting sqref="C8">
    <cfRule type="duplicateValues" dxfId="2478" priority="6327"/>
  </conditionalFormatting>
  <conditionalFormatting sqref="C8">
    <cfRule type="duplicateValues" dxfId="2477" priority="6326"/>
  </conditionalFormatting>
  <conditionalFormatting sqref="C8">
    <cfRule type="duplicateValues" dxfId="2476" priority="6325"/>
  </conditionalFormatting>
  <conditionalFormatting sqref="C8">
    <cfRule type="duplicateValues" dxfId="2475" priority="6324"/>
  </conditionalFormatting>
  <conditionalFormatting sqref="C8">
    <cfRule type="duplicateValues" dxfId="2474" priority="6323"/>
  </conditionalFormatting>
  <conditionalFormatting sqref="C8">
    <cfRule type="duplicateValues" dxfId="2473" priority="6322"/>
  </conditionalFormatting>
  <conditionalFormatting sqref="C8">
    <cfRule type="duplicateValues" dxfId="2472" priority="6321"/>
  </conditionalFormatting>
  <conditionalFormatting sqref="C8">
    <cfRule type="duplicateValues" dxfId="2471" priority="6320"/>
  </conditionalFormatting>
  <conditionalFormatting sqref="C8">
    <cfRule type="duplicateValues" dxfId="2470" priority="6319"/>
  </conditionalFormatting>
  <conditionalFormatting sqref="C8">
    <cfRule type="duplicateValues" dxfId="2469" priority="6318"/>
  </conditionalFormatting>
  <conditionalFormatting sqref="C8">
    <cfRule type="duplicateValues" dxfId="2468" priority="6317"/>
  </conditionalFormatting>
  <conditionalFormatting sqref="C8">
    <cfRule type="duplicateValues" dxfId="2467" priority="6316"/>
  </conditionalFormatting>
  <conditionalFormatting sqref="C8">
    <cfRule type="duplicateValues" dxfId="2466" priority="6315"/>
  </conditionalFormatting>
  <conditionalFormatting sqref="C8">
    <cfRule type="duplicateValues" dxfId="2465" priority="6313" stopIfTrue="1"/>
    <cfRule type="duplicateValues" dxfId="2464" priority="6314"/>
  </conditionalFormatting>
  <conditionalFormatting sqref="C8">
    <cfRule type="duplicateValues" dxfId="2463" priority="6312"/>
  </conditionalFormatting>
  <conditionalFormatting sqref="C8">
    <cfRule type="duplicateValues" dxfId="2462" priority="6311"/>
  </conditionalFormatting>
  <conditionalFormatting sqref="C8">
    <cfRule type="duplicateValues" dxfId="2461" priority="6310"/>
  </conditionalFormatting>
  <conditionalFormatting sqref="C8">
    <cfRule type="duplicateValues" dxfId="2460" priority="6309"/>
  </conditionalFormatting>
  <conditionalFormatting sqref="C8">
    <cfRule type="duplicateValues" dxfId="2459" priority="6307" stopIfTrue="1"/>
    <cfRule type="duplicateValues" dxfId="2458" priority="6308"/>
  </conditionalFormatting>
  <conditionalFormatting sqref="C8">
    <cfRule type="duplicateValues" dxfId="2457" priority="6306"/>
  </conditionalFormatting>
  <conditionalFormatting sqref="C8">
    <cfRule type="duplicateValues" dxfId="2456" priority="6304" stopIfTrue="1"/>
    <cfRule type="duplicateValues" dxfId="2455" priority="6305"/>
  </conditionalFormatting>
  <conditionalFormatting sqref="C8">
    <cfRule type="duplicateValues" dxfId="2454" priority="6303"/>
  </conditionalFormatting>
  <conditionalFormatting sqref="C8">
    <cfRule type="duplicateValues" dxfId="2453" priority="6301" stopIfTrue="1"/>
    <cfRule type="duplicateValues" dxfId="2452" priority="6302"/>
  </conditionalFormatting>
  <conditionalFormatting sqref="C8">
    <cfRule type="duplicateValues" dxfId="2451" priority="6300"/>
  </conditionalFormatting>
  <conditionalFormatting sqref="C8">
    <cfRule type="duplicateValues" dxfId="2450" priority="6298" stopIfTrue="1"/>
    <cfRule type="duplicateValues" dxfId="2449" priority="6299"/>
  </conditionalFormatting>
  <conditionalFormatting sqref="C8">
    <cfRule type="duplicateValues" dxfId="2448" priority="6297"/>
  </conditionalFormatting>
  <conditionalFormatting sqref="C8">
    <cfRule type="duplicateValues" dxfId="2447" priority="6295" stopIfTrue="1"/>
    <cfRule type="duplicateValues" dxfId="2446" priority="6296"/>
  </conditionalFormatting>
  <conditionalFormatting sqref="C8">
    <cfRule type="duplicateValues" dxfId="2445" priority="6294"/>
  </conditionalFormatting>
  <conditionalFormatting sqref="C8">
    <cfRule type="duplicateValues" dxfId="2444" priority="6293"/>
  </conditionalFormatting>
  <conditionalFormatting sqref="C8">
    <cfRule type="duplicateValues" dxfId="2443" priority="6292"/>
  </conditionalFormatting>
  <conditionalFormatting sqref="C8">
    <cfRule type="duplicateValues" dxfId="2442" priority="6291"/>
  </conditionalFormatting>
  <conditionalFormatting sqref="C8">
    <cfRule type="duplicateValues" dxfId="2441" priority="6290"/>
  </conditionalFormatting>
  <conditionalFormatting sqref="C8">
    <cfRule type="duplicateValues" dxfId="2440" priority="6289"/>
  </conditionalFormatting>
  <conditionalFormatting sqref="C8">
    <cfRule type="duplicateValues" dxfId="2439" priority="6288"/>
  </conditionalFormatting>
  <conditionalFormatting sqref="C8">
    <cfRule type="duplicateValues" dxfId="2438" priority="6287"/>
  </conditionalFormatting>
  <conditionalFormatting sqref="C8">
    <cfRule type="duplicateValues" dxfId="2437" priority="6286"/>
  </conditionalFormatting>
  <conditionalFormatting sqref="C8">
    <cfRule type="duplicateValues" dxfId="2436" priority="6285"/>
  </conditionalFormatting>
  <conditionalFormatting sqref="C8">
    <cfRule type="duplicateValues" dxfId="2435" priority="6284"/>
  </conditionalFormatting>
  <conditionalFormatting sqref="C8">
    <cfRule type="duplicateValues" dxfId="2434" priority="6283"/>
  </conditionalFormatting>
  <conditionalFormatting sqref="C8">
    <cfRule type="duplicateValues" dxfId="2433" priority="6282"/>
  </conditionalFormatting>
  <conditionalFormatting sqref="C8">
    <cfRule type="duplicateValues" dxfId="2432" priority="6281"/>
  </conditionalFormatting>
  <conditionalFormatting sqref="C8">
    <cfRule type="duplicateValues" dxfId="2431" priority="6280"/>
  </conditionalFormatting>
  <conditionalFormatting sqref="C8">
    <cfRule type="duplicateValues" dxfId="2430" priority="6279"/>
  </conditionalFormatting>
  <conditionalFormatting sqref="C8">
    <cfRule type="duplicateValues" dxfId="2429" priority="6278"/>
  </conditionalFormatting>
  <conditionalFormatting sqref="C8">
    <cfRule type="duplicateValues" dxfId="2428" priority="6277"/>
  </conditionalFormatting>
  <conditionalFormatting sqref="C8">
    <cfRule type="duplicateValues" dxfId="2427" priority="6276"/>
  </conditionalFormatting>
  <conditionalFormatting sqref="C8">
    <cfRule type="duplicateValues" dxfId="2426" priority="6275"/>
  </conditionalFormatting>
  <conditionalFormatting sqref="C8">
    <cfRule type="duplicateValues" dxfId="2425" priority="6274"/>
  </conditionalFormatting>
  <conditionalFormatting sqref="C8">
    <cfRule type="duplicateValues" dxfId="2424" priority="6273"/>
  </conditionalFormatting>
  <conditionalFormatting sqref="C8">
    <cfRule type="duplicateValues" dxfId="2423" priority="6272"/>
  </conditionalFormatting>
  <conditionalFormatting sqref="C8">
    <cfRule type="duplicateValues" dxfId="2422" priority="6271"/>
  </conditionalFormatting>
  <conditionalFormatting sqref="C8">
    <cfRule type="duplicateValues" dxfId="2421" priority="6270"/>
  </conditionalFormatting>
  <conditionalFormatting sqref="C8">
    <cfRule type="duplicateValues" dxfId="2420" priority="6269"/>
  </conditionalFormatting>
  <conditionalFormatting sqref="C8">
    <cfRule type="duplicateValues" dxfId="2419" priority="6268"/>
  </conditionalFormatting>
  <conditionalFormatting sqref="C8">
    <cfRule type="duplicateValues" dxfId="2418" priority="6267"/>
  </conditionalFormatting>
  <conditionalFormatting sqref="C8">
    <cfRule type="duplicateValues" dxfId="2417" priority="6266"/>
  </conditionalFormatting>
  <conditionalFormatting sqref="C8">
    <cfRule type="duplicateValues" dxfId="2416" priority="6265"/>
  </conditionalFormatting>
  <conditionalFormatting sqref="C8">
    <cfRule type="duplicateValues" dxfId="2415" priority="6264"/>
  </conditionalFormatting>
  <conditionalFormatting sqref="C8">
    <cfRule type="duplicateValues" dxfId="2414" priority="6263"/>
  </conditionalFormatting>
  <conditionalFormatting sqref="C8">
    <cfRule type="duplicateValues" dxfId="2413" priority="6262"/>
  </conditionalFormatting>
  <conditionalFormatting sqref="C8">
    <cfRule type="duplicateValues" dxfId="2412" priority="6261"/>
  </conditionalFormatting>
  <conditionalFormatting sqref="C8">
    <cfRule type="duplicateValues" dxfId="2411" priority="6260"/>
  </conditionalFormatting>
  <conditionalFormatting sqref="C8">
    <cfRule type="duplicateValues" dxfId="2410" priority="6259"/>
  </conditionalFormatting>
  <conditionalFormatting sqref="C8">
    <cfRule type="duplicateValues" dxfId="2409" priority="6258"/>
  </conditionalFormatting>
  <conditionalFormatting sqref="C8">
    <cfRule type="duplicateValues" dxfId="2408" priority="6257"/>
  </conditionalFormatting>
  <conditionalFormatting sqref="C8">
    <cfRule type="duplicateValues" dxfId="2407" priority="6256"/>
  </conditionalFormatting>
  <conditionalFormatting sqref="C8">
    <cfRule type="duplicateValues" dxfId="2406" priority="6255"/>
  </conditionalFormatting>
  <conditionalFormatting sqref="C8">
    <cfRule type="duplicateValues" dxfId="2405" priority="6253" stopIfTrue="1"/>
    <cfRule type="duplicateValues" dxfId="2404" priority="6254"/>
  </conditionalFormatting>
  <conditionalFormatting sqref="C8">
    <cfRule type="duplicateValues" dxfId="2403" priority="6252"/>
  </conditionalFormatting>
  <conditionalFormatting sqref="C8">
    <cfRule type="duplicateValues" dxfId="2402" priority="6251"/>
  </conditionalFormatting>
  <conditionalFormatting sqref="C8">
    <cfRule type="duplicateValues" dxfId="2401" priority="6250"/>
  </conditionalFormatting>
  <conditionalFormatting sqref="C8">
    <cfRule type="duplicateValues" dxfId="2400" priority="6249"/>
  </conditionalFormatting>
  <conditionalFormatting sqref="C8">
    <cfRule type="duplicateValues" dxfId="2399" priority="6247" stopIfTrue="1"/>
    <cfRule type="duplicateValues" dxfId="2398" priority="6248"/>
  </conditionalFormatting>
  <conditionalFormatting sqref="C8">
    <cfRule type="duplicateValues" dxfId="2397" priority="6246"/>
  </conditionalFormatting>
  <conditionalFormatting sqref="C8">
    <cfRule type="duplicateValues" dxfId="2396" priority="6245"/>
  </conditionalFormatting>
  <conditionalFormatting sqref="C8">
    <cfRule type="duplicateValues" dxfId="2395" priority="6244"/>
  </conditionalFormatting>
  <conditionalFormatting sqref="C8">
    <cfRule type="duplicateValues" dxfId="2394" priority="6242" stopIfTrue="1"/>
    <cfRule type="duplicateValues" dxfId="2393" priority="6243"/>
  </conditionalFormatting>
  <conditionalFormatting sqref="C8">
    <cfRule type="duplicateValues" dxfId="2392" priority="6241"/>
  </conditionalFormatting>
  <conditionalFormatting sqref="C8">
    <cfRule type="duplicateValues" dxfId="2391" priority="6239" stopIfTrue="1"/>
    <cfRule type="duplicateValues" dxfId="2390" priority="6240"/>
  </conditionalFormatting>
  <conditionalFormatting sqref="C8">
    <cfRule type="duplicateValues" dxfId="2389" priority="6238"/>
  </conditionalFormatting>
  <conditionalFormatting sqref="C8">
    <cfRule type="duplicateValues" dxfId="2388" priority="6236" stopIfTrue="1"/>
    <cfRule type="duplicateValues" dxfId="2387" priority="6237"/>
  </conditionalFormatting>
  <conditionalFormatting sqref="C8">
    <cfRule type="duplicateValues" dxfId="2386" priority="6235"/>
  </conditionalFormatting>
  <conditionalFormatting sqref="C8">
    <cfRule type="duplicateValues" dxfId="2385" priority="6233" stopIfTrue="1"/>
    <cfRule type="duplicateValues" dxfId="2384" priority="6234"/>
  </conditionalFormatting>
  <conditionalFormatting sqref="C8">
    <cfRule type="duplicateValues" dxfId="2383" priority="6232"/>
  </conditionalFormatting>
  <conditionalFormatting sqref="C8">
    <cfRule type="duplicateValues" dxfId="2382" priority="6230" stopIfTrue="1"/>
    <cfRule type="duplicateValues" dxfId="2381" priority="6231"/>
  </conditionalFormatting>
  <conditionalFormatting sqref="C8">
    <cfRule type="duplicateValues" dxfId="2380" priority="6229"/>
  </conditionalFormatting>
  <conditionalFormatting sqref="C8">
    <cfRule type="duplicateValues" dxfId="2379" priority="6228"/>
  </conditionalFormatting>
  <conditionalFormatting sqref="C8">
    <cfRule type="duplicateValues" dxfId="2378" priority="6227"/>
  </conditionalFormatting>
  <conditionalFormatting sqref="C8">
    <cfRule type="duplicateValues" dxfId="2377" priority="6226"/>
  </conditionalFormatting>
  <conditionalFormatting sqref="C8">
    <cfRule type="duplicateValues" dxfId="2376" priority="6225"/>
  </conditionalFormatting>
  <conditionalFormatting sqref="C8">
    <cfRule type="duplicateValues" dxfId="2375" priority="6224"/>
  </conditionalFormatting>
  <conditionalFormatting sqref="C8">
    <cfRule type="duplicateValues" dxfId="2374" priority="6222" stopIfTrue="1"/>
    <cfRule type="duplicateValues" dxfId="2373" priority="6223"/>
  </conditionalFormatting>
  <conditionalFormatting sqref="C8">
    <cfRule type="duplicateValues" dxfId="2372" priority="6221"/>
  </conditionalFormatting>
  <conditionalFormatting sqref="C8">
    <cfRule type="duplicateValues" dxfId="2371" priority="6219" stopIfTrue="1"/>
    <cfRule type="duplicateValues" dxfId="2370" priority="6220"/>
  </conditionalFormatting>
  <conditionalFormatting sqref="C8">
    <cfRule type="duplicateValues" dxfId="2369" priority="6218"/>
  </conditionalFormatting>
  <conditionalFormatting sqref="C8">
    <cfRule type="duplicateValues" dxfId="2368" priority="6216" stopIfTrue="1"/>
    <cfRule type="duplicateValues" dxfId="2367" priority="6217"/>
  </conditionalFormatting>
  <conditionalFormatting sqref="C8">
    <cfRule type="duplicateValues" dxfId="2366" priority="6215"/>
  </conditionalFormatting>
  <conditionalFormatting sqref="C8">
    <cfRule type="duplicateValues" dxfId="2365" priority="6213" stopIfTrue="1"/>
    <cfRule type="duplicateValues" dxfId="2364" priority="6214"/>
  </conditionalFormatting>
  <conditionalFormatting sqref="C8">
    <cfRule type="duplicateValues" dxfId="2363" priority="6212"/>
  </conditionalFormatting>
  <conditionalFormatting sqref="C8">
    <cfRule type="duplicateValues" dxfId="2362" priority="6210" stopIfTrue="1"/>
    <cfRule type="duplicateValues" dxfId="2361" priority="6211"/>
  </conditionalFormatting>
  <conditionalFormatting sqref="C8">
    <cfRule type="duplicateValues" dxfId="2360" priority="6209"/>
  </conditionalFormatting>
  <conditionalFormatting sqref="C8">
    <cfRule type="duplicateValues" dxfId="2359" priority="6208"/>
  </conditionalFormatting>
  <conditionalFormatting sqref="C8">
    <cfRule type="duplicateValues" dxfId="2358" priority="6207"/>
  </conditionalFormatting>
  <conditionalFormatting sqref="C8">
    <cfRule type="duplicateValues" dxfId="2357" priority="6206"/>
  </conditionalFormatting>
  <conditionalFormatting sqref="C8">
    <cfRule type="duplicateValues" dxfId="2356" priority="6205"/>
  </conditionalFormatting>
  <conditionalFormatting sqref="C8">
    <cfRule type="duplicateValues" dxfId="2355" priority="6204"/>
  </conditionalFormatting>
  <conditionalFormatting sqref="C8">
    <cfRule type="duplicateValues" dxfId="2354" priority="6202" stopIfTrue="1"/>
    <cfRule type="duplicateValues" dxfId="2353" priority="6203"/>
  </conditionalFormatting>
  <conditionalFormatting sqref="C8">
    <cfRule type="duplicateValues" dxfId="2352" priority="6201"/>
  </conditionalFormatting>
  <conditionalFormatting sqref="C8">
    <cfRule type="duplicateValues" dxfId="2351" priority="6199" stopIfTrue="1"/>
    <cfRule type="duplicateValues" dxfId="2350" priority="6200"/>
  </conditionalFormatting>
  <conditionalFormatting sqref="C8">
    <cfRule type="duplicateValues" dxfId="2349" priority="6198"/>
  </conditionalFormatting>
  <conditionalFormatting sqref="C8">
    <cfRule type="duplicateValues" dxfId="2348" priority="6196" stopIfTrue="1"/>
    <cfRule type="duplicateValues" dxfId="2347" priority="6197"/>
  </conditionalFormatting>
  <conditionalFormatting sqref="C8">
    <cfRule type="duplicateValues" dxfId="2346" priority="6195"/>
  </conditionalFormatting>
  <conditionalFormatting sqref="C8">
    <cfRule type="duplicateValues" dxfId="2345" priority="6193" stopIfTrue="1"/>
    <cfRule type="duplicateValues" dxfId="2344" priority="6194"/>
  </conditionalFormatting>
  <conditionalFormatting sqref="C8">
    <cfRule type="duplicateValues" dxfId="2343" priority="6192"/>
  </conditionalFormatting>
  <conditionalFormatting sqref="C8">
    <cfRule type="duplicateValues" dxfId="2342" priority="6190" stopIfTrue="1"/>
    <cfRule type="duplicateValues" dxfId="2341" priority="6191"/>
  </conditionalFormatting>
  <conditionalFormatting sqref="C8">
    <cfRule type="duplicateValues" dxfId="2340" priority="6189"/>
  </conditionalFormatting>
  <conditionalFormatting sqref="C8">
    <cfRule type="duplicateValues" dxfId="2339" priority="6188"/>
  </conditionalFormatting>
  <conditionalFormatting sqref="C8">
    <cfRule type="duplicateValues" dxfId="2338" priority="6187"/>
  </conditionalFormatting>
  <conditionalFormatting sqref="C8">
    <cfRule type="duplicateValues" dxfId="2337" priority="6186"/>
  </conditionalFormatting>
  <conditionalFormatting sqref="C8">
    <cfRule type="duplicateValues" dxfId="2336" priority="6185"/>
  </conditionalFormatting>
  <conditionalFormatting sqref="C8">
    <cfRule type="duplicateValues" dxfId="2335" priority="6184"/>
  </conditionalFormatting>
  <conditionalFormatting sqref="C8">
    <cfRule type="duplicateValues" dxfId="2334" priority="6183"/>
  </conditionalFormatting>
  <conditionalFormatting sqref="C8">
    <cfRule type="duplicateValues" dxfId="2333" priority="6182"/>
  </conditionalFormatting>
  <conditionalFormatting sqref="C8">
    <cfRule type="duplicateValues" dxfId="2332" priority="6181"/>
  </conditionalFormatting>
  <conditionalFormatting sqref="C8">
    <cfRule type="duplicateValues" dxfId="2331" priority="6180"/>
  </conditionalFormatting>
  <conditionalFormatting sqref="C8">
    <cfRule type="duplicateValues" dxfId="2330" priority="6179"/>
  </conditionalFormatting>
  <conditionalFormatting sqref="C8">
    <cfRule type="duplicateValues" dxfId="2329" priority="6178"/>
  </conditionalFormatting>
  <conditionalFormatting sqref="C8">
    <cfRule type="duplicateValues" dxfId="2328" priority="6177"/>
  </conditionalFormatting>
  <conditionalFormatting sqref="C8">
    <cfRule type="duplicateValues" dxfId="2327" priority="6176"/>
  </conditionalFormatting>
  <conditionalFormatting sqref="C8">
    <cfRule type="duplicateValues" dxfId="2326" priority="6175"/>
  </conditionalFormatting>
  <conditionalFormatting sqref="C8">
    <cfRule type="duplicateValues" dxfId="2325" priority="6174"/>
  </conditionalFormatting>
  <conditionalFormatting sqref="C8">
    <cfRule type="duplicateValues" dxfId="2324" priority="6173"/>
  </conditionalFormatting>
  <conditionalFormatting sqref="C8">
    <cfRule type="duplicateValues" dxfId="2323" priority="6172"/>
  </conditionalFormatting>
  <conditionalFormatting sqref="C8">
    <cfRule type="duplicateValues" dxfId="2322" priority="6171"/>
  </conditionalFormatting>
  <conditionalFormatting sqref="C8">
    <cfRule type="duplicateValues" dxfId="2321" priority="6170"/>
  </conditionalFormatting>
  <conditionalFormatting sqref="C8">
    <cfRule type="duplicateValues" dxfId="2320" priority="6169"/>
  </conditionalFormatting>
  <conditionalFormatting sqref="C8">
    <cfRule type="duplicateValues" dxfId="2319" priority="6168"/>
  </conditionalFormatting>
  <conditionalFormatting sqref="C8">
    <cfRule type="duplicateValues" dxfId="2318" priority="6167"/>
  </conditionalFormatting>
  <conditionalFormatting sqref="C8">
    <cfRule type="duplicateValues" dxfId="2317" priority="6166"/>
  </conditionalFormatting>
  <conditionalFormatting sqref="C8">
    <cfRule type="duplicateValues" dxfId="2316" priority="6165"/>
  </conditionalFormatting>
  <conditionalFormatting sqref="C8">
    <cfRule type="duplicateValues" dxfId="2315" priority="6164"/>
  </conditionalFormatting>
  <conditionalFormatting sqref="C8">
    <cfRule type="duplicateValues" dxfId="2314" priority="6163"/>
  </conditionalFormatting>
  <conditionalFormatting sqref="C8">
    <cfRule type="duplicateValues" dxfId="2313" priority="6162"/>
  </conditionalFormatting>
  <conditionalFormatting sqref="C8">
    <cfRule type="duplicateValues" dxfId="2312" priority="6161"/>
  </conditionalFormatting>
  <conditionalFormatting sqref="C8">
    <cfRule type="duplicateValues" dxfId="2311" priority="6160"/>
  </conditionalFormatting>
  <conditionalFormatting sqref="C8">
    <cfRule type="duplicateValues" dxfId="2310" priority="6159"/>
  </conditionalFormatting>
  <conditionalFormatting sqref="C8">
    <cfRule type="duplicateValues" dxfId="2309" priority="6158"/>
  </conditionalFormatting>
  <conditionalFormatting sqref="C8">
    <cfRule type="duplicateValues" dxfId="2308" priority="6157"/>
  </conditionalFormatting>
  <conditionalFormatting sqref="C8">
    <cfRule type="duplicateValues" dxfId="2307" priority="6156"/>
  </conditionalFormatting>
  <conditionalFormatting sqref="C8">
    <cfRule type="duplicateValues" dxfId="2306" priority="6155"/>
  </conditionalFormatting>
  <conditionalFormatting sqref="C8">
    <cfRule type="duplicateValues" dxfId="2305" priority="6154"/>
  </conditionalFormatting>
  <conditionalFormatting sqref="C8">
    <cfRule type="duplicateValues" dxfId="2304" priority="6153"/>
  </conditionalFormatting>
  <conditionalFormatting sqref="C8">
    <cfRule type="duplicateValues" dxfId="2303" priority="6152"/>
  </conditionalFormatting>
  <conditionalFormatting sqref="C8">
    <cfRule type="duplicateValues" dxfId="2302" priority="6151"/>
  </conditionalFormatting>
  <conditionalFormatting sqref="C8">
    <cfRule type="duplicateValues" dxfId="2301" priority="6150"/>
  </conditionalFormatting>
  <conditionalFormatting sqref="C8">
    <cfRule type="duplicateValues" dxfId="2300" priority="6148" stopIfTrue="1"/>
    <cfRule type="duplicateValues" dxfId="2299" priority="6149"/>
  </conditionalFormatting>
  <conditionalFormatting sqref="C8">
    <cfRule type="duplicateValues" dxfId="2298" priority="6147"/>
  </conditionalFormatting>
  <conditionalFormatting sqref="C8">
    <cfRule type="duplicateValues" dxfId="2297" priority="6146"/>
  </conditionalFormatting>
  <conditionalFormatting sqref="C8">
    <cfRule type="duplicateValues" dxfId="2296" priority="6145"/>
  </conditionalFormatting>
  <conditionalFormatting sqref="C8">
    <cfRule type="duplicateValues" dxfId="2295" priority="6144"/>
  </conditionalFormatting>
  <conditionalFormatting sqref="C8">
    <cfRule type="duplicateValues" dxfId="2294" priority="6142" stopIfTrue="1"/>
    <cfRule type="duplicateValues" dxfId="2293" priority="6143"/>
  </conditionalFormatting>
  <conditionalFormatting sqref="C8">
    <cfRule type="duplicateValues" dxfId="2292" priority="6141"/>
  </conditionalFormatting>
  <conditionalFormatting sqref="C8">
    <cfRule type="duplicateValues" dxfId="2291" priority="6139" stopIfTrue="1"/>
    <cfRule type="duplicateValues" dxfId="2290" priority="6140"/>
  </conditionalFormatting>
  <conditionalFormatting sqref="C8">
    <cfRule type="duplicateValues" dxfId="2289" priority="6138"/>
  </conditionalFormatting>
  <conditionalFormatting sqref="C8">
    <cfRule type="duplicateValues" dxfId="2288" priority="6136" stopIfTrue="1"/>
    <cfRule type="duplicateValues" dxfId="2287" priority="6137"/>
  </conditionalFormatting>
  <conditionalFormatting sqref="C8">
    <cfRule type="duplicateValues" dxfId="2286" priority="6135"/>
  </conditionalFormatting>
  <conditionalFormatting sqref="C8">
    <cfRule type="duplicateValues" dxfId="2285" priority="6133" stopIfTrue="1"/>
    <cfRule type="duplicateValues" dxfId="2284" priority="6134"/>
  </conditionalFormatting>
  <conditionalFormatting sqref="C8">
    <cfRule type="duplicateValues" dxfId="2283" priority="6132"/>
  </conditionalFormatting>
  <conditionalFormatting sqref="C8">
    <cfRule type="duplicateValues" dxfId="2282" priority="6130" stopIfTrue="1"/>
    <cfRule type="duplicateValues" dxfId="2281" priority="6131"/>
  </conditionalFormatting>
  <conditionalFormatting sqref="C8">
    <cfRule type="duplicateValues" dxfId="2280" priority="6129"/>
  </conditionalFormatting>
  <conditionalFormatting sqref="C8">
    <cfRule type="duplicateValues" dxfId="2279" priority="6128"/>
  </conditionalFormatting>
  <conditionalFormatting sqref="C8">
    <cfRule type="duplicateValues" dxfId="2278" priority="6127"/>
  </conditionalFormatting>
  <conditionalFormatting sqref="C8">
    <cfRule type="duplicateValues" dxfId="2277" priority="6126"/>
  </conditionalFormatting>
  <conditionalFormatting sqref="C8">
    <cfRule type="duplicateValues" dxfId="2276" priority="6125"/>
  </conditionalFormatting>
  <conditionalFormatting sqref="C8">
    <cfRule type="duplicateValues" dxfId="2275" priority="6124"/>
  </conditionalFormatting>
  <conditionalFormatting sqref="C8">
    <cfRule type="duplicateValues" dxfId="2274" priority="6122" stopIfTrue="1"/>
    <cfRule type="duplicateValues" dxfId="2273" priority="6123"/>
  </conditionalFormatting>
  <conditionalFormatting sqref="C8">
    <cfRule type="duplicateValues" dxfId="2272" priority="6121"/>
  </conditionalFormatting>
  <conditionalFormatting sqref="C8">
    <cfRule type="duplicateValues" dxfId="2271" priority="6119" stopIfTrue="1"/>
    <cfRule type="duplicateValues" dxfId="2270" priority="6120"/>
  </conditionalFormatting>
  <conditionalFormatting sqref="C8">
    <cfRule type="duplicateValues" dxfId="2269" priority="6118"/>
  </conditionalFormatting>
  <conditionalFormatting sqref="C8">
    <cfRule type="duplicateValues" dxfId="2268" priority="6116" stopIfTrue="1"/>
    <cfRule type="duplicateValues" dxfId="2267" priority="6117"/>
  </conditionalFormatting>
  <conditionalFormatting sqref="C8">
    <cfRule type="duplicateValues" dxfId="2266" priority="6115"/>
  </conditionalFormatting>
  <conditionalFormatting sqref="C8">
    <cfRule type="duplicateValues" dxfId="2265" priority="6113" stopIfTrue="1"/>
    <cfRule type="duplicateValues" dxfId="2264" priority="6114"/>
  </conditionalFormatting>
  <conditionalFormatting sqref="C8">
    <cfRule type="duplicateValues" dxfId="2263" priority="6112"/>
  </conditionalFormatting>
  <conditionalFormatting sqref="C8">
    <cfRule type="duplicateValues" dxfId="2262" priority="6110" stopIfTrue="1"/>
    <cfRule type="duplicateValues" dxfId="2261" priority="6111"/>
  </conditionalFormatting>
  <conditionalFormatting sqref="C8">
    <cfRule type="duplicateValues" dxfId="2260" priority="6109"/>
  </conditionalFormatting>
  <conditionalFormatting sqref="C8">
    <cfRule type="duplicateValues" dxfId="2259" priority="6108"/>
  </conditionalFormatting>
  <conditionalFormatting sqref="C8">
    <cfRule type="duplicateValues" dxfId="2258" priority="6107"/>
  </conditionalFormatting>
  <conditionalFormatting sqref="C8">
    <cfRule type="duplicateValues" dxfId="2257" priority="6106"/>
  </conditionalFormatting>
  <conditionalFormatting sqref="C8">
    <cfRule type="duplicateValues" dxfId="2256" priority="6105"/>
  </conditionalFormatting>
  <conditionalFormatting sqref="C8">
    <cfRule type="duplicateValues" dxfId="2255" priority="6104"/>
  </conditionalFormatting>
  <conditionalFormatting sqref="C8">
    <cfRule type="duplicateValues" dxfId="2254" priority="6103"/>
  </conditionalFormatting>
  <conditionalFormatting sqref="C8">
    <cfRule type="duplicateValues" dxfId="2253" priority="6102"/>
  </conditionalFormatting>
  <conditionalFormatting sqref="C8">
    <cfRule type="duplicateValues" dxfId="2252" priority="6101"/>
  </conditionalFormatting>
  <conditionalFormatting sqref="C8">
    <cfRule type="duplicateValues" dxfId="2251" priority="6100"/>
  </conditionalFormatting>
  <conditionalFormatting sqref="C8">
    <cfRule type="duplicateValues" dxfId="2250" priority="6099"/>
  </conditionalFormatting>
  <conditionalFormatting sqref="C8">
    <cfRule type="duplicateValues" dxfId="2249" priority="6098"/>
  </conditionalFormatting>
  <conditionalFormatting sqref="C8">
    <cfRule type="duplicateValues" dxfId="2248" priority="6097"/>
  </conditionalFormatting>
  <conditionalFormatting sqref="C8">
    <cfRule type="duplicateValues" dxfId="2247" priority="6096"/>
  </conditionalFormatting>
  <conditionalFormatting sqref="C8">
    <cfRule type="duplicateValues" dxfId="2246" priority="6095"/>
  </conditionalFormatting>
  <conditionalFormatting sqref="C8">
    <cfRule type="duplicateValues" dxfId="2245" priority="6094"/>
  </conditionalFormatting>
  <conditionalFormatting sqref="C8">
    <cfRule type="duplicateValues" dxfId="2244" priority="6093"/>
  </conditionalFormatting>
  <conditionalFormatting sqref="C8">
    <cfRule type="duplicateValues" dxfId="2243" priority="6092"/>
  </conditionalFormatting>
  <conditionalFormatting sqref="C8">
    <cfRule type="duplicateValues" dxfId="2242" priority="6091"/>
  </conditionalFormatting>
  <conditionalFormatting sqref="C8">
    <cfRule type="duplicateValues" dxfId="2241" priority="6090"/>
  </conditionalFormatting>
  <conditionalFormatting sqref="C8">
    <cfRule type="duplicateValues" dxfId="2240" priority="6089"/>
  </conditionalFormatting>
  <conditionalFormatting sqref="C8">
    <cfRule type="duplicateValues" dxfId="2239" priority="6088"/>
  </conditionalFormatting>
  <conditionalFormatting sqref="C8">
    <cfRule type="duplicateValues" dxfId="2238" priority="6087"/>
  </conditionalFormatting>
  <conditionalFormatting sqref="C8">
    <cfRule type="duplicateValues" dxfId="2237" priority="6086"/>
  </conditionalFormatting>
  <conditionalFormatting sqref="C8">
    <cfRule type="duplicateValues" dxfId="2236" priority="6085"/>
  </conditionalFormatting>
  <conditionalFormatting sqref="C8">
    <cfRule type="duplicateValues" dxfId="2235" priority="6084"/>
  </conditionalFormatting>
  <conditionalFormatting sqref="C8">
    <cfRule type="duplicateValues" dxfId="2234" priority="6083"/>
  </conditionalFormatting>
  <conditionalFormatting sqref="C8">
    <cfRule type="duplicateValues" dxfId="2233" priority="6082"/>
  </conditionalFormatting>
  <conditionalFormatting sqref="C8">
    <cfRule type="duplicateValues" dxfId="2232" priority="6081"/>
  </conditionalFormatting>
  <conditionalFormatting sqref="C8">
    <cfRule type="duplicateValues" dxfId="2231" priority="6080"/>
  </conditionalFormatting>
  <conditionalFormatting sqref="C8">
    <cfRule type="duplicateValues" dxfId="2230" priority="6079"/>
  </conditionalFormatting>
  <conditionalFormatting sqref="C8">
    <cfRule type="duplicateValues" dxfId="2229" priority="6078"/>
  </conditionalFormatting>
  <conditionalFormatting sqref="C8">
    <cfRule type="duplicateValues" dxfId="2228" priority="6077"/>
  </conditionalFormatting>
  <conditionalFormatting sqref="C8">
    <cfRule type="duplicateValues" dxfId="2227" priority="6076"/>
  </conditionalFormatting>
  <conditionalFormatting sqref="C8">
    <cfRule type="duplicateValues" dxfId="2226" priority="6075"/>
  </conditionalFormatting>
  <conditionalFormatting sqref="C8">
    <cfRule type="duplicateValues" dxfId="2225" priority="6074"/>
  </conditionalFormatting>
  <conditionalFormatting sqref="C8">
    <cfRule type="duplicateValues" dxfId="2224" priority="6073"/>
  </conditionalFormatting>
  <conditionalFormatting sqref="C8">
    <cfRule type="duplicateValues" dxfId="2223" priority="6072"/>
  </conditionalFormatting>
  <conditionalFormatting sqref="C8">
    <cfRule type="duplicateValues" dxfId="2222" priority="6071"/>
  </conditionalFormatting>
  <conditionalFormatting sqref="C8">
    <cfRule type="duplicateValues" dxfId="2221" priority="6070"/>
  </conditionalFormatting>
  <conditionalFormatting sqref="C8">
    <cfRule type="duplicateValues" dxfId="2220" priority="6068" stopIfTrue="1"/>
    <cfRule type="duplicateValues" dxfId="2219" priority="6069"/>
  </conditionalFormatting>
  <conditionalFormatting sqref="C8">
    <cfRule type="duplicateValues" dxfId="2218" priority="6067"/>
  </conditionalFormatting>
  <conditionalFormatting sqref="C8">
    <cfRule type="duplicateValues" dxfId="2217" priority="6066"/>
  </conditionalFormatting>
  <conditionalFormatting sqref="C8">
    <cfRule type="duplicateValues" dxfId="2216" priority="6065"/>
  </conditionalFormatting>
  <conditionalFormatting sqref="C8">
    <cfRule type="duplicateValues" dxfId="2215" priority="6064"/>
  </conditionalFormatting>
  <conditionalFormatting sqref="C8">
    <cfRule type="duplicateValues" dxfId="2214" priority="6062" stopIfTrue="1"/>
    <cfRule type="duplicateValues" dxfId="2213" priority="6063"/>
  </conditionalFormatting>
  <conditionalFormatting sqref="C8">
    <cfRule type="duplicateValues" dxfId="2212" priority="6061"/>
  </conditionalFormatting>
  <conditionalFormatting sqref="C8">
    <cfRule type="duplicateValues" dxfId="2211" priority="6059" stopIfTrue="1"/>
    <cfRule type="duplicateValues" dxfId="2210" priority="6060"/>
  </conditionalFormatting>
  <conditionalFormatting sqref="C8">
    <cfRule type="duplicateValues" dxfId="2209" priority="6058"/>
  </conditionalFormatting>
  <conditionalFormatting sqref="C8">
    <cfRule type="duplicateValues" dxfId="2208" priority="6056" stopIfTrue="1"/>
    <cfRule type="duplicateValues" dxfId="2207" priority="6057"/>
  </conditionalFormatting>
  <conditionalFormatting sqref="C8">
    <cfRule type="duplicateValues" dxfId="2206" priority="6055"/>
  </conditionalFormatting>
  <conditionalFormatting sqref="C8">
    <cfRule type="duplicateValues" dxfId="2205" priority="6053" stopIfTrue="1"/>
    <cfRule type="duplicateValues" dxfId="2204" priority="6054"/>
  </conditionalFormatting>
  <conditionalFormatting sqref="C8">
    <cfRule type="duplicateValues" dxfId="2203" priority="6052"/>
  </conditionalFormatting>
  <conditionalFormatting sqref="C8">
    <cfRule type="duplicateValues" dxfId="2202" priority="6050" stopIfTrue="1"/>
    <cfRule type="duplicateValues" dxfId="2201" priority="6051"/>
  </conditionalFormatting>
  <conditionalFormatting sqref="C8">
    <cfRule type="duplicateValues" dxfId="2200" priority="6049"/>
  </conditionalFormatting>
  <conditionalFormatting sqref="C8">
    <cfRule type="duplicateValues" dxfId="2199" priority="6048"/>
  </conditionalFormatting>
  <conditionalFormatting sqref="C8">
    <cfRule type="duplicateValues" dxfId="2198" priority="6047"/>
  </conditionalFormatting>
  <conditionalFormatting sqref="C8">
    <cfRule type="duplicateValues" dxfId="2197" priority="6046"/>
  </conditionalFormatting>
  <conditionalFormatting sqref="C8">
    <cfRule type="duplicateValues" dxfId="2196" priority="6045"/>
  </conditionalFormatting>
  <conditionalFormatting sqref="C8">
    <cfRule type="duplicateValues" dxfId="2195" priority="6044"/>
  </conditionalFormatting>
  <conditionalFormatting sqref="C8">
    <cfRule type="duplicateValues" dxfId="2194" priority="6043"/>
  </conditionalFormatting>
  <conditionalFormatting sqref="C8">
    <cfRule type="duplicateValues" dxfId="2193" priority="6042"/>
  </conditionalFormatting>
  <conditionalFormatting sqref="C8">
    <cfRule type="duplicateValues" dxfId="2192" priority="6041"/>
  </conditionalFormatting>
  <conditionalFormatting sqref="C8">
    <cfRule type="duplicateValues" dxfId="2191" priority="6040"/>
  </conditionalFormatting>
  <conditionalFormatting sqref="C8">
    <cfRule type="duplicateValues" dxfId="2190" priority="6039"/>
  </conditionalFormatting>
  <conditionalFormatting sqref="C8">
    <cfRule type="duplicateValues" dxfId="2189" priority="6038"/>
  </conditionalFormatting>
  <conditionalFormatting sqref="C8">
    <cfRule type="duplicateValues" dxfId="2188" priority="6037"/>
  </conditionalFormatting>
  <conditionalFormatting sqref="C8">
    <cfRule type="duplicateValues" dxfId="2187" priority="6036"/>
  </conditionalFormatting>
  <conditionalFormatting sqref="C8">
    <cfRule type="duplicateValues" dxfId="2186" priority="6035"/>
  </conditionalFormatting>
  <conditionalFormatting sqref="C8">
    <cfRule type="duplicateValues" dxfId="2185" priority="6034"/>
  </conditionalFormatting>
  <conditionalFormatting sqref="C8">
    <cfRule type="duplicateValues" dxfId="2184" priority="6033"/>
  </conditionalFormatting>
  <conditionalFormatting sqref="C8">
    <cfRule type="duplicateValues" dxfId="2183" priority="6032"/>
  </conditionalFormatting>
  <conditionalFormatting sqref="C8">
    <cfRule type="duplicateValues" dxfId="2182" priority="6031"/>
  </conditionalFormatting>
  <conditionalFormatting sqref="C8">
    <cfRule type="duplicateValues" dxfId="2181" priority="6030"/>
  </conditionalFormatting>
  <conditionalFormatting sqref="C8">
    <cfRule type="duplicateValues" dxfId="2180" priority="6029"/>
  </conditionalFormatting>
  <conditionalFormatting sqref="C8">
    <cfRule type="duplicateValues" dxfId="2179" priority="6028"/>
  </conditionalFormatting>
  <conditionalFormatting sqref="C8">
    <cfRule type="duplicateValues" dxfId="2178" priority="6027"/>
  </conditionalFormatting>
  <conditionalFormatting sqref="C8">
    <cfRule type="duplicateValues" dxfId="2177" priority="6026"/>
  </conditionalFormatting>
  <conditionalFormatting sqref="C8">
    <cfRule type="duplicateValues" dxfId="2176" priority="6025"/>
  </conditionalFormatting>
  <conditionalFormatting sqref="C8">
    <cfRule type="duplicateValues" dxfId="2175" priority="6024"/>
  </conditionalFormatting>
  <conditionalFormatting sqref="C8">
    <cfRule type="duplicateValues" dxfId="2174" priority="6023"/>
  </conditionalFormatting>
  <conditionalFormatting sqref="C8">
    <cfRule type="duplicateValues" dxfId="2173" priority="6022"/>
  </conditionalFormatting>
  <conditionalFormatting sqref="C8">
    <cfRule type="duplicateValues" dxfId="2172" priority="6021"/>
  </conditionalFormatting>
  <conditionalFormatting sqref="C8">
    <cfRule type="duplicateValues" dxfId="2171" priority="6020"/>
  </conditionalFormatting>
  <conditionalFormatting sqref="C8">
    <cfRule type="duplicateValues" dxfId="2170" priority="6019"/>
  </conditionalFormatting>
  <conditionalFormatting sqref="C8">
    <cfRule type="duplicateValues" dxfId="2169" priority="6018"/>
  </conditionalFormatting>
  <conditionalFormatting sqref="C8">
    <cfRule type="duplicateValues" dxfId="2168" priority="6017"/>
  </conditionalFormatting>
  <conditionalFormatting sqref="C8">
    <cfRule type="duplicateValues" dxfId="2167" priority="6016"/>
  </conditionalFormatting>
  <conditionalFormatting sqref="C8">
    <cfRule type="duplicateValues" dxfId="2166" priority="6015"/>
  </conditionalFormatting>
  <conditionalFormatting sqref="C8">
    <cfRule type="duplicateValues" dxfId="2165" priority="6014"/>
  </conditionalFormatting>
  <conditionalFormatting sqref="C8">
    <cfRule type="duplicateValues" dxfId="2164" priority="6013"/>
  </conditionalFormatting>
  <conditionalFormatting sqref="C8">
    <cfRule type="duplicateValues" dxfId="2163" priority="6012"/>
  </conditionalFormatting>
  <conditionalFormatting sqref="C8">
    <cfRule type="duplicateValues" dxfId="2162" priority="6011"/>
  </conditionalFormatting>
  <conditionalFormatting sqref="C8">
    <cfRule type="duplicateValues" dxfId="2161" priority="6010"/>
  </conditionalFormatting>
  <conditionalFormatting sqref="C8">
    <cfRule type="duplicateValues" dxfId="2160" priority="6008" stopIfTrue="1"/>
    <cfRule type="duplicateValues" dxfId="2159" priority="6009"/>
  </conditionalFormatting>
  <conditionalFormatting sqref="C8">
    <cfRule type="duplicateValues" dxfId="2158" priority="6007"/>
  </conditionalFormatting>
  <conditionalFormatting sqref="C8">
    <cfRule type="duplicateValues" dxfId="2157" priority="6006"/>
  </conditionalFormatting>
  <conditionalFormatting sqref="C8">
    <cfRule type="duplicateValues" dxfId="2156" priority="6005"/>
  </conditionalFormatting>
  <conditionalFormatting sqref="C8">
    <cfRule type="duplicateValues" dxfId="2155" priority="6004"/>
  </conditionalFormatting>
  <conditionalFormatting sqref="C8">
    <cfRule type="duplicateValues" dxfId="2154" priority="6002" stopIfTrue="1"/>
    <cfRule type="duplicateValues" dxfId="2153" priority="6003"/>
  </conditionalFormatting>
  <conditionalFormatting sqref="C8">
    <cfRule type="duplicateValues" dxfId="2152" priority="6001"/>
  </conditionalFormatting>
  <conditionalFormatting sqref="C8">
    <cfRule type="duplicateValues" dxfId="2151" priority="6000"/>
  </conditionalFormatting>
  <conditionalFormatting sqref="C8">
    <cfRule type="duplicateValues" dxfId="2150" priority="5999"/>
  </conditionalFormatting>
  <conditionalFormatting sqref="C8">
    <cfRule type="duplicateValues" dxfId="2149" priority="5997" stopIfTrue="1"/>
    <cfRule type="duplicateValues" dxfId="2148" priority="5998"/>
  </conditionalFormatting>
  <conditionalFormatting sqref="C8">
    <cfRule type="duplicateValues" dxfId="2147" priority="5996"/>
  </conditionalFormatting>
  <conditionalFormatting sqref="C8">
    <cfRule type="duplicateValues" dxfId="2146" priority="5994" stopIfTrue="1"/>
    <cfRule type="duplicateValues" dxfId="2145" priority="5995"/>
  </conditionalFormatting>
  <conditionalFormatting sqref="C8">
    <cfRule type="duplicateValues" dxfId="2144" priority="5993"/>
  </conditionalFormatting>
  <conditionalFormatting sqref="C8">
    <cfRule type="duplicateValues" dxfId="2143" priority="5991" stopIfTrue="1"/>
    <cfRule type="duplicateValues" dxfId="2142" priority="5992"/>
  </conditionalFormatting>
  <conditionalFormatting sqref="C8">
    <cfRule type="duplicateValues" dxfId="2141" priority="5990"/>
  </conditionalFormatting>
  <conditionalFormatting sqref="C8">
    <cfRule type="duplicateValues" dxfId="2140" priority="5988" stopIfTrue="1"/>
    <cfRule type="duplicateValues" dxfId="2139" priority="5989"/>
  </conditionalFormatting>
  <conditionalFormatting sqref="C8">
    <cfRule type="duplicateValues" dxfId="2138" priority="5987"/>
  </conditionalFormatting>
  <conditionalFormatting sqref="C8">
    <cfRule type="duplicateValues" dxfId="2137" priority="5985" stopIfTrue="1"/>
    <cfRule type="duplicateValues" dxfId="2136" priority="5986"/>
  </conditionalFormatting>
  <conditionalFormatting sqref="C8">
    <cfRule type="duplicateValues" dxfId="2135" priority="5984"/>
  </conditionalFormatting>
  <conditionalFormatting sqref="C8">
    <cfRule type="duplicateValues" dxfId="2134" priority="5983"/>
  </conditionalFormatting>
  <conditionalFormatting sqref="C8">
    <cfRule type="duplicateValues" dxfId="2133" priority="5982"/>
  </conditionalFormatting>
  <conditionalFormatting sqref="C8">
    <cfRule type="duplicateValues" dxfId="2132" priority="5981"/>
  </conditionalFormatting>
  <conditionalFormatting sqref="C8">
    <cfRule type="duplicateValues" dxfId="2131" priority="5980"/>
  </conditionalFormatting>
  <conditionalFormatting sqref="C8">
    <cfRule type="duplicateValues" dxfId="2130" priority="5979"/>
  </conditionalFormatting>
  <conditionalFormatting sqref="C8">
    <cfRule type="duplicateValues" dxfId="2129" priority="5977" stopIfTrue="1"/>
    <cfRule type="duplicateValues" dxfId="2128" priority="5978"/>
  </conditionalFormatting>
  <conditionalFormatting sqref="C8">
    <cfRule type="duplicateValues" dxfId="2127" priority="5976"/>
  </conditionalFormatting>
  <conditionalFormatting sqref="C8">
    <cfRule type="duplicateValues" dxfId="2126" priority="5974" stopIfTrue="1"/>
    <cfRule type="duplicateValues" dxfId="2125" priority="5975"/>
  </conditionalFormatting>
  <conditionalFormatting sqref="C8">
    <cfRule type="duplicateValues" dxfId="2124" priority="5973"/>
  </conditionalFormatting>
  <conditionalFormatting sqref="C8">
    <cfRule type="duplicateValues" dxfId="2123" priority="5971" stopIfTrue="1"/>
    <cfRule type="duplicateValues" dxfId="2122" priority="5972"/>
  </conditionalFormatting>
  <conditionalFormatting sqref="C8">
    <cfRule type="duplicateValues" dxfId="2121" priority="5970"/>
  </conditionalFormatting>
  <conditionalFormatting sqref="C8">
    <cfRule type="duplicateValues" dxfId="2120" priority="5968" stopIfTrue="1"/>
    <cfRule type="duplicateValues" dxfId="2119" priority="5969"/>
  </conditionalFormatting>
  <conditionalFormatting sqref="C8">
    <cfRule type="duplicateValues" dxfId="2118" priority="5967"/>
  </conditionalFormatting>
  <conditionalFormatting sqref="C8">
    <cfRule type="duplicateValues" dxfId="2117" priority="5965" stopIfTrue="1"/>
    <cfRule type="duplicateValues" dxfId="2116" priority="5966"/>
  </conditionalFormatting>
  <conditionalFormatting sqref="C8">
    <cfRule type="duplicateValues" dxfId="2115" priority="5964"/>
  </conditionalFormatting>
  <conditionalFormatting sqref="C8">
    <cfRule type="duplicateValues" dxfId="2114" priority="5963"/>
  </conditionalFormatting>
  <conditionalFormatting sqref="C8">
    <cfRule type="duplicateValues" dxfId="2113" priority="5962"/>
  </conditionalFormatting>
  <conditionalFormatting sqref="C8">
    <cfRule type="duplicateValues" dxfId="2112" priority="5961"/>
  </conditionalFormatting>
  <conditionalFormatting sqref="C8">
    <cfRule type="duplicateValues" dxfId="2111" priority="5960"/>
  </conditionalFormatting>
  <conditionalFormatting sqref="C8">
    <cfRule type="duplicateValues" dxfId="2110" priority="5959"/>
  </conditionalFormatting>
  <conditionalFormatting sqref="C8">
    <cfRule type="duplicateValues" dxfId="2109" priority="5958"/>
  </conditionalFormatting>
  <conditionalFormatting sqref="C8">
    <cfRule type="duplicateValues" dxfId="2108" priority="5957"/>
  </conditionalFormatting>
  <conditionalFormatting sqref="C8">
    <cfRule type="duplicateValues" dxfId="2107" priority="5956"/>
  </conditionalFormatting>
  <conditionalFormatting sqref="C8">
    <cfRule type="duplicateValues" dxfId="2106" priority="5955"/>
  </conditionalFormatting>
  <conditionalFormatting sqref="C8">
    <cfRule type="duplicateValues" dxfId="2105" priority="5954"/>
  </conditionalFormatting>
  <conditionalFormatting sqref="C8">
    <cfRule type="duplicateValues" dxfId="2104" priority="5953"/>
  </conditionalFormatting>
  <conditionalFormatting sqref="C8">
    <cfRule type="duplicateValues" dxfId="2103" priority="5952"/>
  </conditionalFormatting>
  <conditionalFormatting sqref="C8">
    <cfRule type="duplicateValues" dxfId="2102" priority="5951"/>
  </conditionalFormatting>
  <conditionalFormatting sqref="C8">
    <cfRule type="duplicateValues" dxfId="2101" priority="5950"/>
  </conditionalFormatting>
  <conditionalFormatting sqref="C8">
    <cfRule type="duplicateValues" dxfId="2100" priority="5949"/>
  </conditionalFormatting>
  <conditionalFormatting sqref="C8">
    <cfRule type="duplicateValues" dxfId="2099" priority="5948"/>
  </conditionalFormatting>
  <conditionalFormatting sqref="C8">
    <cfRule type="duplicateValues" dxfId="2098" priority="5947"/>
  </conditionalFormatting>
  <conditionalFormatting sqref="C8">
    <cfRule type="duplicateValues" dxfId="2097" priority="5946"/>
  </conditionalFormatting>
  <conditionalFormatting sqref="C8">
    <cfRule type="duplicateValues" dxfId="2096" priority="5945"/>
  </conditionalFormatting>
  <conditionalFormatting sqref="C8">
    <cfRule type="duplicateValues" dxfId="2095" priority="5944"/>
  </conditionalFormatting>
  <conditionalFormatting sqref="C8">
    <cfRule type="duplicateValues" dxfId="2094" priority="5943"/>
  </conditionalFormatting>
  <conditionalFormatting sqref="C8">
    <cfRule type="duplicateValues" dxfId="2093" priority="5942"/>
  </conditionalFormatting>
  <conditionalFormatting sqref="C8">
    <cfRule type="duplicateValues" dxfId="2092" priority="5941"/>
  </conditionalFormatting>
  <conditionalFormatting sqref="C8">
    <cfRule type="duplicateValues" dxfId="2091" priority="5940"/>
  </conditionalFormatting>
  <conditionalFormatting sqref="C8">
    <cfRule type="duplicateValues" dxfId="2090" priority="5939"/>
  </conditionalFormatting>
  <conditionalFormatting sqref="C8">
    <cfRule type="duplicateValues" dxfId="2089" priority="5938"/>
  </conditionalFormatting>
  <conditionalFormatting sqref="C8">
    <cfRule type="duplicateValues" dxfId="2088" priority="5937"/>
  </conditionalFormatting>
  <conditionalFormatting sqref="C8">
    <cfRule type="duplicateValues" dxfId="2087" priority="5936"/>
  </conditionalFormatting>
  <conditionalFormatting sqref="C8">
    <cfRule type="duplicateValues" dxfId="2086" priority="5935"/>
  </conditionalFormatting>
  <conditionalFormatting sqref="C8">
    <cfRule type="duplicateValues" dxfId="2085" priority="5934"/>
  </conditionalFormatting>
  <conditionalFormatting sqref="C8">
    <cfRule type="duplicateValues" dxfId="2084" priority="5933"/>
  </conditionalFormatting>
  <conditionalFormatting sqref="C8">
    <cfRule type="duplicateValues" dxfId="2083" priority="5932"/>
  </conditionalFormatting>
  <conditionalFormatting sqref="C8">
    <cfRule type="duplicateValues" dxfId="2082" priority="5931"/>
  </conditionalFormatting>
  <conditionalFormatting sqref="C8">
    <cfRule type="duplicateValues" dxfId="2081" priority="5930"/>
  </conditionalFormatting>
  <conditionalFormatting sqref="C8">
    <cfRule type="duplicateValues" dxfId="2080" priority="5929"/>
  </conditionalFormatting>
  <conditionalFormatting sqref="C8">
    <cfRule type="duplicateValues" dxfId="2079" priority="5928"/>
  </conditionalFormatting>
  <conditionalFormatting sqref="C8">
    <cfRule type="duplicateValues" dxfId="2078" priority="5927"/>
  </conditionalFormatting>
  <conditionalFormatting sqref="C8">
    <cfRule type="duplicateValues" dxfId="2077" priority="5926"/>
  </conditionalFormatting>
  <conditionalFormatting sqref="C8">
    <cfRule type="duplicateValues" dxfId="2076" priority="5925"/>
  </conditionalFormatting>
  <conditionalFormatting sqref="C8">
    <cfRule type="duplicateValues" dxfId="2075" priority="5923" stopIfTrue="1"/>
    <cfRule type="duplicateValues" dxfId="2074" priority="5924"/>
  </conditionalFormatting>
  <conditionalFormatting sqref="C8">
    <cfRule type="duplicateValues" dxfId="2073" priority="5922"/>
  </conditionalFormatting>
  <conditionalFormatting sqref="C8">
    <cfRule type="duplicateValues" dxfId="2072" priority="5921"/>
  </conditionalFormatting>
  <conditionalFormatting sqref="C8">
    <cfRule type="duplicateValues" dxfId="2071" priority="5920"/>
  </conditionalFormatting>
  <conditionalFormatting sqref="C8">
    <cfRule type="duplicateValues" dxfId="2070" priority="5919"/>
  </conditionalFormatting>
  <conditionalFormatting sqref="C8">
    <cfRule type="duplicateValues" dxfId="2069" priority="5917" stopIfTrue="1"/>
    <cfRule type="duplicateValues" dxfId="2068" priority="5918"/>
  </conditionalFormatting>
  <conditionalFormatting sqref="C8">
    <cfRule type="duplicateValues" dxfId="2067" priority="5916"/>
  </conditionalFormatting>
  <conditionalFormatting sqref="C8">
    <cfRule type="duplicateValues" dxfId="2066" priority="5914" stopIfTrue="1"/>
    <cfRule type="duplicateValues" dxfId="2065" priority="5915"/>
  </conditionalFormatting>
  <conditionalFormatting sqref="C8">
    <cfRule type="duplicateValues" dxfId="2064" priority="5913"/>
  </conditionalFormatting>
  <conditionalFormatting sqref="C8">
    <cfRule type="duplicateValues" dxfId="2063" priority="5911" stopIfTrue="1"/>
    <cfRule type="duplicateValues" dxfId="2062" priority="5912"/>
  </conditionalFormatting>
  <conditionalFormatting sqref="C8">
    <cfRule type="duplicateValues" dxfId="2061" priority="5910"/>
  </conditionalFormatting>
  <conditionalFormatting sqref="C8">
    <cfRule type="duplicateValues" dxfId="2060" priority="5908" stopIfTrue="1"/>
    <cfRule type="duplicateValues" dxfId="2059" priority="5909"/>
  </conditionalFormatting>
  <conditionalFormatting sqref="C8">
    <cfRule type="duplicateValues" dxfId="2058" priority="5907"/>
  </conditionalFormatting>
  <conditionalFormatting sqref="C8">
    <cfRule type="duplicateValues" dxfId="2057" priority="5905" stopIfTrue="1"/>
    <cfRule type="duplicateValues" dxfId="2056" priority="5906"/>
  </conditionalFormatting>
  <conditionalFormatting sqref="C8">
    <cfRule type="duplicateValues" dxfId="2055" priority="5904"/>
  </conditionalFormatting>
  <conditionalFormatting sqref="C8">
    <cfRule type="duplicateValues" dxfId="2054" priority="5903"/>
  </conditionalFormatting>
  <conditionalFormatting sqref="C8">
    <cfRule type="duplicateValues" dxfId="2053" priority="5902"/>
  </conditionalFormatting>
  <conditionalFormatting sqref="C8">
    <cfRule type="duplicateValues" dxfId="2052" priority="5901"/>
  </conditionalFormatting>
  <conditionalFormatting sqref="C8">
    <cfRule type="duplicateValues" dxfId="2051" priority="5900"/>
  </conditionalFormatting>
  <conditionalFormatting sqref="C8">
    <cfRule type="duplicateValues" dxfId="2050" priority="5899"/>
  </conditionalFormatting>
  <conditionalFormatting sqref="C8">
    <cfRule type="duplicateValues" dxfId="2049" priority="5898"/>
  </conditionalFormatting>
  <conditionalFormatting sqref="C8">
    <cfRule type="duplicateValues" dxfId="2048" priority="5897"/>
  </conditionalFormatting>
  <conditionalFormatting sqref="C8">
    <cfRule type="duplicateValues" dxfId="2047" priority="5896"/>
  </conditionalFormatting>
  <conditionalFormatting sqref="C8">
    <cfRule type="duplicateValues" dxfId="2046" priority="5895"/>
  </conditionalFormatting>
  <conditionalFormatting sqref="C8">
    <cfRule type="duplicateValues" dxfId="2045" priority="5894"/>
  </conditionalFormatting>
  <conditionalFormatting sqref="C8">
    <cfRule type="duplicateValues" dxfId="2044" priority="5893"/>
  </conditionalFormatting>
  <conditionalFormatting sqref="C8">
    <cfRule type="duplicateValues" dxfId="2043" priority="5892"/>
  </conditionalFormatting>
  <conditionalFormatting sqref="C8">
    <cfRule type="duplicateValues" dxfId="2042" priority="5891"/>
  </conditionalFormatting>
  <conditionalFormatting sqref="C8">
    <cfRule type="duplicateValues" dxfId="2041" priority="5890"/>
  </conditionalFormatting>
  <conditionalFormatting sqref="C8">
    <cfRule type="duplicateValues" dxfId="2040" priority="5889"/>
  </conditionalFormatting>
  <conditionalFormatting sqref="C8">
    <cfRule type="duplicateValues" dxfId="2039" priority="5888"/>
  </conditionalFormatting>
  <conditionalFormatting sqref="C8">
    <cfRule type="duplicateValues" dxfId="2038" priority="5887"/>
  </conditionalFormatting>
  <conditionalFormatting sqref="C8">
    <cfRule type="duplicateValues" dxfId="2037" priority="5886"/>
  </conditionalFormatting>
  <conditionalFormatting sqref="C8">
    <cfRule type="duplicateValues" dxfId="2036" priority="5885"/>
  </conditionalFormatting>
  <conditionalFormatting sqref="C8">
    <cfRule type="duplicateValues" dxfId="2035" priority="5884"/>
  </conditionalFormatting>
  <conditionalFormatting sqref="C8">
    <cfRule type="duplicateValues" dxfId="2034" priority="5883"/>
  </conditionalFormatting>
  <conditionalFormatting sqref="C8">
    <cfRule type="duplicateValues" dxfId="2033" priority="5882"/>
  </conditionalFormatting>
  <conditionalFormatting sqref="C8">
    <cfRule type="duplicateValues" dxfId="2032" priority="5881"/>
  </conditionalFormatting>
  <conditionalFormatting sqref="C8">
    <cfRule type="duplicateValues" dxfId="2031" priority="5880"/>
  </conditionalFormatting>
  <conditionalFormatting sqref="C8">
    <cfRule type="duplicateValues" dxfId="2030" priority="5879"/>
  </conditionalFormatting>
  <conditionalFormatting sqref="C8">
    <cfRule type="duplicateValues" dxfId="2029" priority="5878"/>
  </conditionalFormatting>
  <conditionalFormatting sqref="C8">
    <cfRule type="duplicateValues" dxfId="2028" priority="5877"/>
  </conditionalFormatting>
  <conditionalFormatting sqref="C8">
    <cfRule type="duplicateValues" dxfId="2027" priority="5876"/>
  </conditionalFormatting>
  <conditionalFormatting sqref="C8">
    <cfRule type="duplicateValues" dxfId="2026" priority="5875"/>
  </conditionalFormatting>
  <conditionalFormatting sqref="C8">
    <cfRule type="duplicateValues" dxfId="2025" priority="5874"/>
  </conditionalFormatting>
  <conditionalFormatting sqref="C8">
    <cfRule type="duplicateValues" dxfId="2024" priority="5873"/>
  </conditionalFormatting>
  <conditionalFormatting sqref="C8">
    <cfRule type="duplicateValues" dxfId="2023" priority="5872"/>
  </conditionalFormatting>
  <conditionalFormatting sqref="C8">
    <cfRule type="duplicateValues" dxfId="2022" priority="5871"/>
  </conditionalFormatting>
  <conditionalFormatting sqref="C8">
    <cfRule type="duplicateValues" dxfId="2021" priority="5870"/>
  </conditionalFormatting>
  <conditionalFormatting sqref="C8">
    <cfRule type="duplicateValues" dxfId="2020" priority="5869"/>
  </conditionalFormatting>
  <conditionalFormatting sqref="C8">
    <cfRule type="duplicateValues" dxfId="2019" priority="5868"/>
  </conditionalFormatting>
  <conditionalFormatting sqref="C8">
    <cfRule type="duplicateValues" dxfId="2018" priority="5867"/>
  </conditionalFormatting>
  <conditionalFormatting sqref="C8">
    <cfRule type="duplicateValues" dxfId="2017" priority="5866"/>
  </conditionalFormatting>
  <conditionalFormatting sqref="C8">
    <cfRule type="duplicateValues" dxfId="2016" priority="5865"/>
  </conditionalFormatting>
  <conditionalFormatting sqref="C8">
    <cfRule type="duplicateValues" dxfId="2015" priority="5863" stopIfTrue="1"/>
    <cfRule type="duplicateValues" dxfId="2014" priority="5864"/>
  </conditionalFormatting>
  <conditionalFormatting sqref="C8">
    <cfRule type="duplicateValues" dxfId="2013" priority="5862"/>
  </conditionalFormatting>
  <conditionalFormatting sqref="C8">
    <cfRule type="duplicateValues" dxfId="2012" priority="5861"/>
  </conditionalFormatting>
  <conditionalFormatting sqref="C8">
    <cfRule type="duplicateValues" dxfId="2011" priority="5860"/>
  </conditionalFormatting>
  <conditionalFormatting sqref="C8">
    <cfRule type="duplicateValues" dxfId="2010" priority="5859"/>
  </conditionalFormatting>
  <conditionalFormatting sqref="C8">
    <cfRule type="duplicateValues" dxfId="2009" priority="5857" stopIfTrue="1"/>
    <cfRule type="duplicateValues" dxfId="2008" priority="5858"/>
  </conditionalFormatting>
  <conditionalFormatting sqref="C8">
    <cfRule type="duplicateValues" dxfId="2007" priority="5856"/>
  </conditionalFormatting>
  <conditionalFormatting sqref="C8">
    <cfRule type="duplicateValues" dxfId="2006" priority="5854" stopIfTrue="1"/>
    <cfRule type="duplicateValues" dxfId="2005" priority="5855"/>
  </conditionalFormatting>
  <conditionalFormatting sqref="C8">
    <cfRule type="duplicateValues" dxfId="2004" priority="5853"/>
  </conditionalFormatting>
  <conditionalFormatting sqref="C8">
    <cfRule type="duplicateValues" dxfId="2003" priority="5852"/>
  </conditionalFormatting>
  <conditionalFormatting sqref="C8">
    <cfRule type="duplicateValues" dxfId="2002" priority="5851"/>
  </conditionalFormatting>
  <conditionalFormatting sqref="C8">
    <cfRule type="duplicateValues" dxfId="2001" priority="5850"/>
  </conditionalFormatting>
  <conditionalFormatting sqref="C8">
    <cfRule type="duplicateValues" dxfId="2000" priority="5849"/>
  </conditionalFormatting>
  <conditionalFormatting sqref="C8">
    <cfRule type="duplicateValues" dxfId="1999" priority="5847" stopIfTrue="1"/>
    <cfRule type="duplicateValues" dxfId="1998" priority="5848"/>
  </conditionalFormatting>
  <conditionalFormatting sqref="C8">
    <cfRule type="duplicateValues" dxfId="1997" priority="5846"/>
  </conditionalFormatting>
  <conditionalFormatting sqref="C8">
    <cfRule type="duplicateValues" dxfId="1996" priority="5844" stopIfTrue="1"/>
    <cfRule type="duplicateValues" dxfId="1995" priority="5845"/>
  </conditionalFormatting>
  <conditionalFormatting sqref="C8">
    <cfRule type="duplicateValues" dxfId="1994" priority="5843"/>
  </conditionalFormatting>
  <conditionalFormatting sqref="C8">
    <cfRule type="duplicateValues" dxfId="1993" priority="5841" stopIfTrue="1"/>
    <cfRule type="duplicateValues" dxfId="1992" priority="5842"/>
  </conditionalFormatting>
  <conditionalFormatting sqref="C8">
    <cfRule type="duplicateValues" dxfId="1991" priority="5840"/>
  </conditionalFormatting>
  <conditionalFormatting sqref="C8">
    <cfRule type="duplicateValues" dxfId="1990" priority="5838" stopIfTrue="1"/>
    <cfRule type="duplicateValues" dxfId="1989" priority="5839"/>
  </conditionalFormatting>
  <conditionalFormatting sqref="C8">
    <cfRule type="duplicateValues" dxfId="1988" priority="5837"/>
  </conditionalFormatting>
  <conditionalFormatting sqref="C8">
    <cfRule type="duplicateValues" dxfId="1987" priority="5835" stopIfTrue="1"/>
    <cfRule type="duplicateValues" dxfId="1986" priority="5836"/>
  </conditionalFormatting>
  <conditionalFormatting sqref="C8">
    <cfRule type="duplicateValues" dxfId="1985" priority="5834"/>
  </conditionalFormatting>
  <conditionalFormatting sqref="C8">
    <cfRule type="duplicateValues" dxfId="1984" priority="5832" stopIfTrue="1"/>
    <cfRule type="duplicateValues" dxfId="1983" priority="5833"/>
  </conditionalFormatting>
  <conditionalFormatting sqref="C8">
    <cfRule type="duplicateValues" dxfId="1982" priority="5831"/>
  </conditionalFormatting>
  <conditionalFormatting sqref="C8">
    <cfRule type="duplicateValues" dxfId="1981" priority="5829" stopIfTrue="1"/>
    <cfRule type="duplicateValues" dxfId="1980" priority="5830"/>
  </conditionalFormatting>
  <conditionalFormatting sqref="C8">
    <cfRule type="duplicateValues" dxfId="1979" priority="5828"/>
  </conditionalFormatting>
  <conditionalFormatting sqref="C8">
    <cfRule type="duplicateValues" dxfId="1978" priority="5827"/>
  </conditionalFormatting>
  <conditionalFormatting sqref="C8">
    <cfRule type="duplicateValues" dxfId="1977" priority="5826"/>
  </conditionalFormatting>
  <conditionalFormatting sqref="C8">
    <cfRule type="duplicateValues" dxfId="1976" priority="5825"/>
  </conditionalFormatting>
  <conditionalFormatting sqref="C8">
    <cfRule type="duplicateValues" dxfId="1975" priority="5824"/>
  </conditionalFormatting>
  <conditionalFormatting sqref="C8">
    <cfRule type="duplicateValues" dxfId="1974" priority="5823"/>
  </conditionalFormatting>
  <conditionalFormatting sqref="C8">
    <cfRule type="duplicateValues" dxfId="1973" priority="5822"/>
  </conditionalFormatting>
  <conditionalFormatting sqref="C8">
    <cfRule type="duplicateValues" dxfId="1972" priority="5821"/>
  </conditionalFormatting>
  <conditionalFormatting sqref="C8">
    <cfRule type="duplicateValues" dxfId="1971" priority="5820"/>
  </conditionalFormatting>
  <conditionalFormatting sqref="C8">
    <cfRule type="duplicateValues" dxfId="1970" priority="5819"/>
  </conditionalFormatting>
  <conditionalFormatting sqref="C8">
    <cfRule type="duplicateValues" dxfId="1969" priority="5817" stopIfTrue="1"/>
    <cfRule type="duplicateValues" dxfId="1968" priority="5818"/>
  </conditionalFormatting>
  <conditionalFormatting sqref="C8">
    <cfRule type="duplicateValues" dxfId="1967" priority="5816"/>
  </conditionalFormatting>
  <conditionalFormatting sqref="C8">
    <cfRule type="duplicateValues" dxfId="1966" priority="5814" stopIfTrue="1"/>
    <cfRule type="duplicateValues" dxfId="1965" priority="5815"/>
  </conditionalFormatting>
  <conditionalFormatting sqref="C8">
    <cfRule type="duplicateValues" dxfId="1964" priority="5813"/>
  </conditionalFormatting>
  <conditionalFormatting sqref="C8">
    <cfRule type="duplicateValues" dxfId="1963" priority="5811" stopIfTrue="1"/>
    <cfRule type="duplicateValues" dxfId="1962" priority="5812"/>
  </conditionalFormatting>
  <conditionalFormatting sqref="C8">
    <cfRule type="duplicateValues" dxfId="1961" priority="5810"/>
  </conditionalFormatting>
  <conditionalFormatting sqref="C8">
    <cfRule type="duplicateValues" dxfId="1960" priority="5808" stopIfTrue="1"/>
    <cfRule type="duplicateValues" dxfId="1959" priority="5809"/>
  </conditionalFormatting>
  <conditionalFormatting sqref="C8">
    <cfRule type="duplicateValues" dxfId="1958" priority="5807"/>
  </conditionalFormatting>
  <conditionalFormatting sqref="C8">
    <cfRule type="duplicateValues" dxfId="1957" priority="5805" stopIfTrue="1"/>
    <cfRule type="duplicateValues" dxfId="1956" priority="5806"/>
  </conditionalFormatting>
  <conditionalFormatting sqref="C8">
    <cfRule type="duplicateValues" dxfId="1955" priority="5804"/>
  </conditionalFormatting>
  <conditionalFormatting sqref="C8">
    <cfRule type="duplicateValues" dxfId="1954" priority="5803"/>
  </conditionalFormatting>
  <conditionalFormatting sqref="C8">
    <cfRule type="duplicateValues" dxfId="1953" priority="5802"/>
  </conditionalFormatting>
  <conditionalFormatting sqref="C8">
    <cfRule type="duplicateValues" dxfId="1952" priority="5801"/>
  </conditionalFormatting>
  <conditionalFormatting sqref="C8">
    <cfRule type="duplicateValues" dxfId="1951" priority="5800"/>
  </conditionalFormatting>
  <conditionalFormatting sqref="C8">
    <cfRule type="duplicateValues" dxfId="1950" priority="5799"/>
  </conditionalFormatting>
  <conditionalFormatting sqref="C8">
    <cfRule type="duplicateValues" dxfId="1949" priority="5797" stopIfTrue="1"/>
    <cfRule type="duplicateValues" dxfId="1948" priority="5798"/>
  </conditionalFormatting>
  <conditionalFormatting sqref="C8">
    <cfRule type="duplicateValues" dxfId="1947" priority="5796"/>
  </conditionalFormatting>
  <conditionalFormatting sqref="C8">
    <cfRule type="duplicateValues" dxfId="1946" priority="5794" stopIfTrue="1"/>
    <cfRule type="duplicateValues" dxfId="1945" priority="5795"/>
  </conditionalFormatting>
  <conditionalFormatting sqref="C8">
    <cfRule type="duplicateValues" dxfId="1944" priority="5793"/>
  </conditionalFormatting>
  <conditionalFormatting sqref="C8">
    <cfRule type="duplicateValues" dxfId="1943" priority="5791" stopIfTrue="1"/>
    <cfRule type="duplicateValues" dxfId="1942" priority="5792"/>
  </conditionalFormatting>
  <conditionalFormatting sqref="C8">
    <cfRule type="duplicateValues" dxfId="1941" priority="5790"/>
  </conditionalFormatting>
  <conditionalFormatting sqref="C8">
    <cfRule type="duplicateValues" dxfId="1940" priority="5788" stopIfTrue="1"/>
    <cfRule type="duplicateValues" dxfId="1939" priority="5789"/>
  </conditionalFormatting>
  <conditionalFormatting sqref="C8">
    <cfRule type="duplicateValues" dxfId="1938" priority="5787"/>
  </conditionalFormatting>
  <conditionalFormatting sqref="C8">
    <cfRule type="duplicateValues" dxfId="1937" priority="5785" stopIfTrue="1"/>
    <cfRule type="duplicateValues" dxfId="1936" priority="5786"/>
  </conditionalFormatting>
  <conditionalFormatting sqref="C8">
    <cfRule type="duplicateValues" dxfId="1935" priority="5784"/>
  </conditionalFormatting>
  <conditionalFormatting sqref="C8">
    <cfRule type="duplicateValues" dxfId="1934" priority="5783"/>
  </conditionalFormatting>
  <conditionalFormatting sqref="C8">
    <cfRule type="duplicateValues" dxfId="1933" priority="5782"/>
  </conditionalFormatting>
  <conditionalFormatting sqref="C8">
    <cfRule type="duplicateValues" dxfId="1932" priority="5781"/>
  </conditionalFormatting>
  <conditionalFormatting sqref="C8">
    <cfRule type="duplicateValues" dxfId="1931" priority="5780"/>
  </conditionalFormatting>
  <conditionalFormatting sqref="C8">
    <cfRule type="duplicateValues" dxfId="1930" priority="5779"/>
  </conditionalFormatting>
  <conditionalFormatting sqref="C8">
    <cfRule type="duplicateValues" dxfId="1929" priority="5777" stopIfTrue="1"/>
    <cfRule type="duplicateValues" dxfId="1928" priority="5778"/>
  </conditionalFormatting>
  <conditionalFormatting sqref="C8">
    <cfRule type="duplicateValues" dxfId="1927" priority="5776"/>
  </conditionalFormatting>
  <conditionalFormatting sqref="C8">
    <cfRule type="duplicateValues" dxfId="1926" priority="5774" stopIfTrue="1"/>
    <cfRule type="duplicateValues" dxfId="1925" priority="5775"/>
  </conditionalFormatting>
  <conditionalFormatting sqref="C8">
    <cfRule type="duplicateValues" dxfId="1924" priority="5773"/>
  </conditionalFormatting>
  <conditionalFormatting sqref="C8">
    <cfRule type="duplicateValues" dxfId="1923" priority="5771" stopIfTrue="1"/>
    <cfRule type="duplicateValues" dxfId="1922" priority="5772"/>
  </conditionalFormatting>
  <conditionalFormatting sqref="C8">
    <cfRule type="duplicateValues" dxfId="1921" priority="5770"/>
  </conditionalFormatting>
  <conditionalFormatting sqref="C8">
    <cfRule type="duplicateValues" dxfId="1920" priority="5768" stopIfTrue="1"/>
    <cfRule type="duplicateValues" dxfId="1919" priority="5769"/>
  </conditionalFormatting>
  <conditionalFormatting sqref="C8">
    <cfRule type="duplicateValues" dxfId="1918" priority="5767"/>
  </conditionalFormatting>
  <conditionalFormatting sqref="C8">
    <cfRule type="duplicateValues" dxfId="1917" priority="5765" stopIfTrue="1"/>
    <cfRule type="duplicateValues" dxfId="1916" priority="5766"/>
  </conditionalFormatting>
  <conditionalFormatting sqref="C8">
    <cfRule type="duplicateValues" dxfId="1915" priority="5764"/>
  </conditionalFormatting>
  <conditionalFormatting sqref="C8">
    <cfRule type="duplicateValues" dxfId="1914" priority="5763"/>
  </conditionalFormatting>
  <conditionalFormatting sqref="C8">
    <cfRule type="duplicateValues" dxfId="1913" priority="5762"/>
  </conditionalFormatting>
  <conditionalFormatting sqref="C8">
    <cfRule type="duplicateValues" dxfId="1912" priority="5761"/>
  </conditionalFormatting>
  <conditionalFormatting sqref="C8">
    <cfRule type="duplicateValues" dxfId="1911" priority="5760"/>
  </conditionalFormatting>
  <conditionalFormatting sqref="C8">
    <cfRule type="duplicateValues" dxfId="1910" priority="5759"/>
  </conditionalFormatting>
  <conditionalFormatting sqref="C8">
    <cfRule type="duplicateValues" dxfId="1909" priority="5757" stopIfTrue="1"/>
    <cfRule type="duplicateValues" dxfId="1908" priority="5758"/>
  </conditionalFormatting>
  <conditionalFormatting sqref="C8">
    <cfRule type="duplicateValues" dxfId="1907" priority="5756"/>
  </conditionalFormatting>
  <conditionalFormatting sqref="C8">
    <cfRule type="duplicateValues" dxfId="1906" priority="5754" stopIfTrue="1"/>
    <cfRule type="duplicateValues" dxfId="1905" priority="5755"/>
  </conditionalFormatting>
  <conditionalFormatting sqref="C8">
    <cfRule type="duplicateValues" dxfId="1904" priority="5753"/>
  </conditionalFormatting>
  <conditionalFormatting sqref="C8">
    <cfRule type="duplicateValues" dxfId="1903" priority="5751" stopIfTrue="1"/>
    <cfRule type="duplicateValues" dxfId="1902" priority="5752"/>
  </conditionalFormatting>
  <conditionalFormatting sqref="C8">
    <cfRule type="duplicateValues" dxfId="1901" priority="5750"/>
  </conditionalFormatting>
  <conditionalFormatting sqref="C8">
    <cfRule type="duplicateValues" dxfId="1900" priority="5748" stopIfTrue="1"/>
    <cfRule type="duplicateValues" dxfId="1899" priority="5749"/>
  </conditionalFormatting>
  <conditionalFormatting sqref="C8">
    <cfRule type="duplicateValues" dxfId="1898" priority="5747"/>
  </conditionalFormatting>
  <conditionalFormatting sqref="C8">
    <cfRule type="duplicateValues" dxfId="1897" priority="5745" stopIfTrue="1"/>
    <cfRule type="duplicateValues" dxfId="1896" priority="5746"/>
  </conditionalFormatting>
  <conditionalFormatting sqref="C8">
    <cfRule type="duplicateValues" dxfId="1895" priority="5744"/>
  </conditionalFormatting>
  <conditionalFormatting sqref="C8">
    <cfRule type="duplicateValues" dxfId="1894" priority="5743"/>
  </conditionalFormatting>
  <conditionalFormatting sqref="C8">
    <cfRule type="duplicateValues" dxfId="1893" priority="5742"/>
  </conditionalFormatting>
  <conditionalFormatting sqref="C8">
    <cfRule type="duplicateValues" dxfId="1892" priority="5741"/>
  </conditionalFormatting>
  <conditionalFormatting sqref="C8">
    <cfRule type="duplicateValues" dxfId="1891" priority="5740"/>
  </conditionalFormatting>
  <conditionalFormatting sqref="C8">
    <cfRule type="duplicateValues" dxfId="1890" priority="5739"/>
  </conditionalFormatting>
  <conditionalFormatting sqref="C8">
    <cfRule type="duplicateValues" dxfId="1889" priority="5738"/>
  </conditionalFormatting>
  <conditionalFormatting sqref="C8">
    <cfRule type="duplicateValues" dxfId="1888" priority="5737"/>
  </conditionalFormatting>
  <conditionalFormatting sqref="C8">
    <cfRule type="duplicateValues" dxfId="1887" priority="5736"/>
  </conditionalFormatting>
  <conditionalFormatting sqref="C8">
    <cfRule type="duplicateValues" dxfId="1886" priority="5735"/>
  </conditionalFormatting>
  <conditionalFormatting sqref="C8">
    <cfRule type="duplicateValues" dxfId="1885" priority="5734"/>
  </conditionalFormatting>
  <conditionalFormatting sqref="C8">
    <cfRule type="duplicateValues" dxfId="1884" priority="5733"/>
  </conditionalFormatting>
  <conditionalFormatting sqref="C8">
    <cfRule type="duplicateValues" dxfId="1883" priority="5732"/>
  </conditionalFormatting>
  <conditionalFormatting sqref="C8">
    <cfRule type="duplicateValues" dxfId="1882" priority="5731"/>
  </conditionalFormatting>
  <conditionalFormatting sqref="C8">
    <cfRule type="duplicateValues" dxfId="1881" priority="5730"/>
  </conditionalFormatting>
  <conditionalFormatting sqref="C8">
    <cfRule type="duplicateValues" dxfId="1880" priority="5729"/>
  </conditionalFormatting>
  <conditionalFormatting sqref="C8">
    <cfRule type="duplicateValues" dxfId="1879" priority="5728"/>
  </conditionalFormatting>
  <conditionalFormatting sqref="C8">
    <cfRule type="duplicateValues" dxfId="1878" priority="5727"/>
  </conditionalFormatting>
  <conditionalFormatting sqref="C8">
    <cfRule type="duplicateValues" dxfId="1877" priority="5726"/>
  </conditionalFormatting>
  <conditionalFormatting sqref="C8">
    <cfRule type="duplicateValues" dxfId="1876" priority="5725"/>
  </conditionalFormatting>
  <conditionalFormatting sqref="C8">
    <cfRule type="duplicateValues" dxfId="1875" priority="5724"/>
  </conditionalFormatting>
  <conditionalFormatting sqref="C8">
    <cfRule type="duplicateValues" dxfId="1874" priority="5723"/>
  </conditionalFormatting>
  <conditionalFormatting sqref="C8">
    <cfRule type="duplicateValues" dxfId="1873" priority="5722"/>
  </conditionalFormatting>
  <conditionalFormatting sqref="C8">
    <cfRule type="duplicateValues" dxfId="1872" priority="5721"/>
  </conditionalFormatting>
  <conditionalFormatting sqref="C8">
    <cfRule type="duplicateValues" dxfId="1871" priority="5720"/>
  </conditionalFormatting>
  <conditionalFormatting sqref="C8">
    <cfRule type="duplicateValues" dxfId="1870" priority="5719"/>
  </conditionalFormatting>
  <conditionalFormatting sqref="C8">
    <cfRule type="duplicateValues" dxfId="1869" priority="5718"/>
  </conditionalFormatting>
  <conditionalFormatting sqref="C8">
    <cfRule type="duplicateValues" dxfId="1868" priority="5717"/>
  </conditionalFormatting>
  <conditionalFormatting sqref="C8">
    <cfRule type="duplicateValues" dxfId="1867" priority="5716"/>
  </conditionalFormatting>
  <conditionalFormatting sqref="C8">
    <cfRule type="duplicateValues" dxfId="1866" priority="5715"/>
  </conditionalFormatting>
  <conditionalFormatting sqref="C8">
    <cfRule type="duplicateValues" dxfId="1865" priority="5714"/>
  </conditionalFormatting>
  <conditionalFormatting sqref="C8">
    <cfRule type="duplicateValues" dxfId="1864" priority="5713"/>
  </conditionalFormatting>
  <conditionalFormatting sqref="C8">
    <cfRule type="duplicateValues" dxfId="1863" priority="5712"/>
  </conditionalFormatting>
  <conditionalFormatting sqref="C8">
    <cfRule type="duplicateValues" dxfId="1862" priority="5711"/>
  </conditionalFormatting>
  <conditionalFormatting sqref="C8">
    <cfRule type="duplicateValues" dxfId="1861" priority="5710"/>
  </conditionalFormatting>
  <conditionalFormatting sqref="C8">
    <cfRule type="duplicateValues" dxfId="1860" priority="5709"/>
  </conditionalFormatting>
  <conditionalFormatting sqref="C8">
    <cfRule type="duplicateValues" dxfId="1859" priority="5708"/>
  </conditionalFormatting>
  <conditionalFormatting sqref="C8">
    <cfRule type="duplicateValues" dxfId="1858" priority="5707"/>
  </conditionalFormatting>
  <conditionalFormatting sqref="C8">
    <cfRule type="duplicateValues" dxfId="1857" priority="5706"/>
  </conditionalFormatting>
  <conditionalFormatting sqref="C8">
    <cfRule type="duplicateValues" dxfId="1856" priority="5705"/>
  </conditionalFormatting>
  <conditionalFormatting sqref="C8">
    <cfRule type="duplicateValues" dxfId="1855" priority="5703" stopIfTrue="1"/>
    <cfRule type="duplicateValues" dxfId="1854" priority="5704"/>
  </conditionalFormatting>
  <conditionalFormatting sqref="C8">
    <cfRule type="duplicateValues" dxfId="1853" priority="5702"/>
  </conditionalFormatting>
  <conditionalFormatting sqref="C8">
    <cfRule type="duplicateValues" dxfId="1852" priority="5701"/>
  </conditionalFormatting>
  <conditionalFormatting sqref="C8">
    <cfRule type="duplicateValues" dxfId="1851" priority="5700"/>
  </conditionalFormatting>
  <conditionalFormatting sqref="C8">
    <cfRule type="duplicateValues" dxfId="1850" priority="5699"/>
  </conditionalFormatting>
  <conditionalFormatting sqref="C8">
    <cfRule type="duplicateValues" dxfId="1849" priority="5697" stopIfTrue="1"/>
    <cfRule type="duplicateValues" dxfId="1848" priority="5698"/>
  </conditionalFormatting>
  <conditionalFormatting sqref="C8">
    <cfRule type="duplicateValues" dxfId="1847" priority="5696"/>
  </conditionalFormatting>
  <conditionalFormatting sqref="C8">
    <cfRule type="duplicateValues" dxfId="1846" priority="5694" stopIfTrue="1"/>
    <cfRule type="duplicateValues" dxfId="1845" priority="5695"/>
  </conditionalFormatting>
  <conditionalFormatting sqref="C8">
    <cfRule type="duplicateValues" dxfId="1844" priority="5693"/>
  </conditionalFormatting>
  <conditionalFormatting sqref="C8">
    <cfRule type="duplicateValues" dxfId="1843" priority="5691" stopIfTrue="1"/>
    <cfRule type="duplicateValues" dxfId="1842" priority="5692"/>
  </conditionalFormatting>
  <conditionalFormatting sqref="C8">
    <cfRule type="duplicateValues" dxfId="1841" priority="5690"/>
  </conditionalFormatting>
  <conditionalFormatting sqref="C8">
    <cfRule type="duplicateValues" dxfId="1840" priority="5688" stopIfTrue="1"/>
    <cfRule type="duplicateValues" dxfId="1839" priority="5689"/>
  </conditionalFormatting>
  <conditionalFormatting sqref="C8">
    <cfRule type="duplicateValues" dxfId="1838" priority="5687"/>
  </conditionalFormatting>
  <conditionalFormatting sqref="C8">
    <cfRule type="duplicateValues" dxfId="1837" priority="5685" stopIfTrue="1"/>
    <cfRule type="duplicateValues" dxfId="1836" priority="5686"/>
  </conditionalFormatting>
  <conditionalFormatting sqref="C8">
    <cfRule type="duplicateValues" dxfId="1835" priority="5684"/>
  </conditionalFormatting>
  <conditionalFormatting sqref="C8">
    <cfRule type="duplicateValues" dxfId="1834" priority="5683"/>
  </conditionalFormatting>
  <conditionalFormatting sqref="C8">
    <cfRule type="duplicateValues" dxfId="1833" priority="5682"/>
  </conditionalFormatting>
  <conditionalFormatting sqref="C8">
    <cfRule type="duplicateValues" dxfId="1832" priority="5681"/>
  </conditionalFormatting>
  <conditionalFormatting sqref="C8">
    <cfRule type="duplicateValues" dxfId="1831" priority="5680"/>
  </conditionalFormatting>
  <conditionalFormatting sqref="C8">
    <cfRule type="duplicateValues" dxfId="1830" priority="5679"/>
  </conditionalFormatting>
  <conditionalFormatting sqref="C8">
    <cfRule type="duplicateValues" dxfId="1829" priority="5677" stopIfTrue="1"/>
    <cfRule type="duplicateValues" dxfId="1828" priority="5678"/>
  </conditionalFormatting>
  <conditionalFormatting sqref="C8">
    <cfRule type="duplicateValues" dxfId="1827" priority="5676"/>
  </conditionalFormatting>
  <conditionalFormatting sqref="C8">
    <cfRule type="duplicateValues" dxfId="1826" priority="5674" stopIfTrue="1"/>
    <cfRule type="duplicateValues" dxfId="1825" priority="5675"/>
  </conditionalFormatting>
  <conditionalFormatting sqref="C8">
    <cfRule type="duplicateValues" dxfId="1824" priority="5673"/>
  </conditionalFormatting>
  <conditionalFormatting sqref="C8">
    <cfRule type="duplicateValues" dxfId="1823" priority="5671" stopIfTrue="1"/>
    <cfRule type="duplicateValues" dxfId="1822" priority="5672"/>
  </conditionalFormatting>
  <conditionalFormatting sqref="C8">
    <cfRule type="duplicateValues" dxfId="1821" priority="5670"/>
  </conditionalFormatting>
  <conditionalFormatting sqref="C8">
    <cfRule type="duplicateValues" dxfId="1820" priority="5668" stopIfTrue="1"/>
    <cfRule type="duplicateValues" dxfId="1819" priority="5669"/>
  </conditionalFormatting>
  <conditionalFormatting sqref="C8">
    <cfRule type="duplicateValues" dxfId="1818" priority="5667"/>
  </conditionalFormatting>
  <conditionalFormatting sqref="C8">
    <cfRule type="duplicateValues" dxfId="1817" priority="5665" stopIfTrue="1"/>
    <cfRule type="duplicateValues" dxfId="1816" priority="5666"/>
  </conditionalFormatting>
  <conditionalFormatting sqref="C8">
    <cfRule type="duplicateValues" dxfId="1815" priority="5664"/>
  </conditionalFormatting>
  <conditionalFormatting sqref="C8">
    <cfRule type="duplicateValues" dxfId="1814" priority="5663"/>
  </conditionalFormatting>
  <conditionalFormatting sqref="C8">
    <cfRule type="duplicateValues" dxfId="1813" priority="5662"/>
  </conditionalFormatting>
  <conditionalFormatting sqref="C8">
    <cfRule type="duplicateValues" dxfId="1812" priority="5661"/>
  </conditionalFormatting>
  <conditionalFormatting sqref="C8">
    <cfRule type="duplicateValues" dxfId="1811" priority="5660"/>
  </conditionalFormatting>
  <conditionalFormatting sqref="C8">
    <cfRule type="duplicateValues" dxfId="1810" priority="5659"/>
  </conditionalFormatting>
  <conditionalFormatting sqref="C8">
    <cfRule type="duplicateValues" dxfId="1809" priority="5657" stopIfTrue="1"/>
    <cfRule type="duplicateValues" dxfId="1808" priority="5658"/>
  </conditionalFormatting>
  <conditionalFormatting sqref="C8">
    <cfRule type="duplicateValues" dxfId="1807" priority="5656"/>
  </conditionalFormatting>
  <conditionalFormatting sqref="C8">
    <cfRule type="duplicateValues" dxfId="1806" priority="5654" stopIfTrue="1"/>
    <cfRule type="duplicateValues" dxfId="1805" priority="5655"/>
  </conditionalFormatting>
  <conditionalFormatting sqref="C8">
    <cfRule type="duplicateValues" dxfId="1804" priority="5653"/>
  </conditionalFormatting>
  <conditionalFormatting sqref="C8">
    <cfRule type="duplicateValues" dxfId="1803" priority="5651" stopIfTrue="1"/>
    <cfRule type="duplicateValues" dxfId="1802" priority="5652"/>
  </conditionalFormatting>
  <conditionalFormatting sqref="C8">
    <cfRule type="duplicateValues" dxfId="1801" priority="5650"/>
  </conditionalFormatting>
  <conditionalFormatting sqref="C8">
    <cfRule type="duplicateValues" dxfId="1800" priority="5648" stopIfTrue="1"/>
    <cfRule type="duplicateValues" dxfId="1799" priority="5649"/>
  </conditionalFormatting>
  <conditionalFormatting sqref="C8">
    <cfRule type="duplicateValues" dxfId="1798" priority="5647"/>
  </conditionalFormatting>
  <conditionalFormatting sqref="C8">
    <cfRule type="duplicateValues" dxfId="1797" priority="5645" stopIfTrue="1"/>
    <cfRule type="duplicateValues" dxfId="1796" priority="5646"/>
  </conditionalFormatting>
  <conditionalFormatting sqref="C8">
    <cfRule type="duplicateValues" dxfId="1795" priority="5644"/>
  </conditionalFormatting>
  <conditionalFormatting sqref="C8">
    <cfRule type="duplicateValues" dxfId="1794" priority="5643"/>
  </conditionalFormatting>
  <conditionalFormatting sqref="C8">
    <cfRule type="duplicateValues" dxfId="1793" priority="5642"/>
  </conditionalFormatting>
  <conditionalFormatting sqref="C8">
    <cfRule type="duplicateValues" dxfId="1792" priority="5641"/>
  </conditionalFormatting>
  <conditionalFormatting sqref="C8">
    <cfRule type="duplicateValues" dxfId="1791" priority="5640"/>
  </conditionalFormatting>
  <conditionalFormatting sqref="C8">
    <cfRule type="duplicateValues" dxfId="1790" priority="5639"/>
  </conditionalFormatting>
  <conditionalFormatting sqref="C8">
    <cfRule type="duplicateValues" dxfId="1789" priority="5638"/>
  </conditionalFormatting>
  <conditionalFormatting sqref="C8">
    <cfRule type="duplicateValues" dxfId="1788" priority="5637"/>
  </conditionalFormatting>
  <conditionalFormatting sqref="C8">
    <cfRule type="duplicateValues" dxfId="1787" priority="5636"/>
  </conditionalFormatting>
  <conditionalFormatting sqref="C8">
    <cfRule type="duplicateValues" dxfId="1786" priority="5635"/>
  </conditionalFormatting>
  <conditionalFormatting sqref="C8">
    <cfRule type="duplicateValues" dxfId="1785" priority="5634"/>
  </conditionalFormatting>
  <conditionalFormatting sqref="C8">
    <cfRule type="duplicateValues" dxfId="1784" priority="5633"/>
  </conditionalFormatting>
  <conditionalFormatting sqref="C8">
    <cfRule type="duplicateValues" dxfId="1783" priority="5632"/>
  </conditionalFormatting>
  <conditionalFormatting sqref="C8">
    <cfRule type="duplicateValues" dxfId="1782" priority="5631"/>
  </conditionalFormatting>
  <conditionalFormatting sqref="C8">
    <cfRule type="duplicateValues" dxfId="1781" priority="5630"/>
  </conditionalFormatting>
  <conditionalFormatting sqref="C8">
    <cfRule type="duplicateValues" dxfId="1780" priority="5629"/>
  </conditionalFormatting>
  <conditionalFormatting sqref="C8">
    <cfRule type="duplicateValues" dxfId="1779" priority="5628"/>
  </conditionalFormatting>
  <conditionalFormatting sqref="C8">
    <cfRule type="duplicateValues" dxfId="1778" priority="5627"/>
  </conditionalFormatting>
  <conditionalFormatting sqref="C8">
    <cfRule type="duplicateValues" dxfId="1777" priority="5626"/>
  </conditionalFormatting>
  <conditionalFormatting sqref="C8">
    <cfRule type="duplicateValues" dxfId="1776" priority="5625"/>
  </conditionalFormatting>
  <conditionalFormatting sqref="C8">
    <cfRule type="duplicateValues" dxfId="1775" priority="5624"/>
  </conditionalFormatting>
  <conditionalFormatting sqref="C8">
    <cfRule type="duplicateValues" dxfId="1774" priority="5623"/>
  </conditionalFormatting>
  <conditionalFormatting sqref="C8">
    <cfRule type="duplicateValues" dxfId="1773" priority="5622"/>
  </conditionalFormatting>
  <conditionalFormatting sqref="C8">
    <cfRule type="duplicateValues" dxfId="1772" priority="5621"/>
  </conditionalFormatting>
  <conditionalFormatting sqref="C8">
    <cfRule type="duplicateValues" dxfId="1771" priority="5620"/>
  </conditionalFormatting>
  <conditionalFormatting sqref="C8">
    <cfRule type="duplicateValues" dxfId="1770" priority="5619"/>
  </conditionalFormatting>
  <conditionalFormatting sqref="C8">
    <cfRule type="duplicateValues" dxfId="1769" priority="5618"/>
  </conditionalFormatting>
  <conditionalFormatting sqref="C8">
    <cfRule type="duplicateValues" dxfId="1768" priority="5617"/>
  </conditionalFormatting>
  <conditionalFormatting sqref="C8">
    <cfRule type="duplicateValues" dxfId="1767" priority="5616"/>
  </conditionalFormatting>
  <conditionalFormatting sqref="C8">
    <cfRule type="duplicateValues" dxfId="1766" priority="5615"/>
  </conditionalFormatting>
  <conditionalFormatting sqref="C8">
    <cfRule type="duplicateValues" dxfId="1765" priority="5614"/>
  </conditionalFormatting>
  <conditionalFormatting sqref="C8">
    <cfRule type="duplicateValues" dxfId="1764" priority="5613"/>
  </conditionalFormatting>
  <conditionalFormatting sqref="C8">
    <cfRule type="duplicateValues" dxfId="1763" priority="5612"/>
  </conditionalFormatting>
  <conditionalFormatting sqref="C8">
    <cfRule type="duplicateValues" dxfId="1762" priority="5611"/>
  </conditionalFormatting>
  <conditionalFormatting sqref="C8">
    <cfRule type="duplicateValues" dxfId="1761" priority="5610"/>
  </conditionalFormatting>
  <conditionalFormatting sqref="C8">
    <cfRule type="duplicateValues" dxfId="1760" priority="5609"/>
  </conditionalFormatting>
  <conditionalFormatting sqref="C8">
    <cfRule type="duplicateValues" dxfId="1759" priority="5608"/>
  </conditionalFormatting>
  <conditionalFormatting sqref="C8">
    <cfRule type="duplicateValues" dxfId="1758" priority="5607"/>
  </conditionalFormatting>
  <conditionalFormatting sqref="C8">
    <cfRule type="duplicateValues" dxfId="1757" priority="5606"/>
  </conditionalFormatting>
  <conditionalFormatting sqref="C8">
    <cfRule type="duplicateValues" dxfId="1756" priority="5605"/>
  </conditionalFormatting>
  <conditionalFormatting sqref="C8">
    <cfRule type="duplicateValues" dxfId="1755" priority="5603" stopIfTrue="1"/>
    <cfRule type="duplicateValues" dxfId="1754" priority="5604"/>
  </conditionalFormatting>
  <conditionalFormatting sqref="C8">
    <cfRule type="duplicateValues" dxfId="1753" priority="5602"/>
  </conditionalFormatting>
  <conditionalFormatting sqref="C8">
    <cfRule type="duplicateValues" dxfId="1752" priority="5601"/>
  </conditionalFormatting>
  <conditionalFormatting sqref="C8">
    <cfRule type="duplicateValues" dxfId="1751" priority="5600"/>
  </conditionalFormatting>
  <conditionalFormatting sqref="C8">
    <cfRule type="duplicateValues" dxfId="1750" priority="5599"/>
  </conditionalFormatting>
  <conditionalFormatting sqref="C8">
    <cfRule type="duplicateValues" dxfId="1749" priority="5597" stopIfTrue="1"/>
    <cfRule type="duplicateValues" dxfId="1748" priority="5598"/>
  </conditionalFormatting>
  <conditionalFormatting sqref="C8">
    <cfRule type="duplicateValues" dxfId="1747" priority="5596"/>
  </conditionalFormatting>
  <conditionalFormatting sqref="C8">
    <cfRule type="duplicateValues" dxfId="1746" priority="5594" stopIfTrue="1"/>
    <cfRule type="duplicateValues" dxfId="1745" priority="5595"/>
  </conditionalFormatting>
  <conditionalFormatting sqref="C8">
    <cfRule type="duplicateValues" dxfId="1744" priority="5593"/>
  </conditionalFormatting>
  <conditionalFormatting sqref="C8">
    <cfRule type="duplicateValues" dxfId="1743" priority="5591" stopIfTrue="1"/>
    <cfRule type="duplicateValues" dxfId="1742" priority="5592"/>
  </conditionalFormatting>
  <conditionalFormatting sqref="C8">
    <cfRule type="duplicateValues" dxfId="1741" priority="5590"/>
  </conditionalFormatting>
  <conditionalFormatting sqref="C8">
    <cfRule type="duplicateValues" dxfId="1740" priority="5588" stopIfTrue="1"/>
    <cfRule type="duplicateValues" dxfId="1739" priority="5589"/>
  </conditionalFormatting>
  <conditionalFormatting sqref="C8">
    <cfRule type="duplicateValues" dxfId="1738" priority="5587"/>
  </conditionalFormatting>
  <conditionalFormatting sqref="C8">
    <cfRule type="duplicateValues" dxfId="1737" priority="5585" stopIfTrue="1"/>
    <cfRule type="duplicateValues" dxfId="1736" priority="5586"/>
  </conditionalFormatting>
  <conditionalFormatting sqref="C8">
    <cfRule type="duplicateValues" dxfId="1735" priority="5584"/>
  </conditionalFormatting>
  <conditionalFormatting sqref="C8">
    <cfRule type="duplicateValues" dxfId="1734" priority="5583"/>
  </conditionalFormatting>
  <conditionalFormatting sqref="C8">
    <cfRule type="duplicateValues" dxfId="1733" priority="5582"/>
  </conditionalFormatting>
  <conditionalFormatting sqref="C8">
    <cfRule type="duplicateValues" dxfId="1732" priority="5581"/>
  </conditionalFormatting>
  <conditionalFormatting sqref="C8">
    <cfRule type="duplicateValues" dxfId="1731" priority="5580"/>
  </conditionalFormatting>
  <conditionalFormatting sqref="C8">
    <cfRule type="duplicateValues" dxfId="1730" priority="5579"/>
  </conditionalFormatting>
  <conditionalFormatting sqref="C8">
    <cfRule type="duplicateValues" dxfId="1729" priority="5577" stopIfTrue="1"/>
    <cfRule type="duplicateValues" dxfId="1728" priority="5578"/>
  </conditionalFormatting>
  <conditionalFormatting sqref="C8">
    <cfRule type="duplicateValues" dxfId="1727" priority="5576"/>
  </conditionalFormatting>
  <conditionalFormatting sqref="C8">
    <cfRule type="duplicateValues" dxfId="1726" priority="5574" stopIfTrue="1"/>
    <cfRule type="duplicateValues" dxfId="1725" priority="5575"/>
  </conditionalFormatting>
  <conditionalFormatting sqref="C8">
    <cfRule type="duplicateValues" dxfId="1724" priority="5573"/>
  </conditionalFormatting>
  <conditionalFormatting sqref="C8">
    <cfRule type="duplicateValues" dxfId="1723" priority="5571" stopIfTrue="1"/>
    <cfRule type="duplicateValues" dxfId="1722" priority="5572"/>
  </conditionalFormatting>
  <conditionalFormatting sqref="C8">
    <cfRule type="duplicateValues" dxfId="1721" priority="5570"/>
  </conditionalFormatting>
  <conditionalFormatting sqref="C8">
    <cfRule type="duplicateValues" dxfId="1720" priority="5568" stopIfTrue="1"/>
    <cfRule type="duplicateValues" dxfId="1719" priority="5569"/>
  </conditionalFormatting>
  <conditionalFormatting sqref="C8">
    <cfRule type="duplicateValues" dxfId="1718" priority="5567"/>
  </conditionalFormatting>
  <conditionalFormatting sqref="C8">
    <cfRule type="duplicateValues" dxfId="1717" priority="5565" stopIfTrue="1"/>
    <cfRule type="duplicateValues" dxfId="1716" priority="5566"/>
  </conditionalFormatting>
  <conditionalFormatting sqref="C8">
    <cfRule type="duplicateValues" dxfId="1715" priority="5564"/>
  </conditionalFormatting>
  <conditionalFormatting sqref="C8">
    <cfRule type="duplicateValues" dxfId="1714" priority="5563"/>
  </conditionalFormatting>
  <conditionalFormatting sqref="C8">
    <cfRule type="duplicateValues" dxfId="1713" priority="5562"/>
  </conditionalFormatting>
  <conditionalFormatting sqref="C8">
    <cfRule type="duplicateValues" dxfId="1712" priority="5561"/>
  </conditionalFormatting>
  <conditionalFormatting sqref="C8">
    <cfRule type="duplicateValues" dxfId="1711" priority="5560"/>
  </conditionalFormatting>
  <conditionalFormatting sqref="C8">
    <cfRule type="duplicateValues" dxfId="1710" priority="5559"/>
  </conditionalFormatting>
  <conditionalFormatting sqref="C8">
    <cfRule type="duplicateValues" dxfId="1709" priority="5558"/>
  </conditionalFormatting>
  <conditionalFormatting sqref="C8">
    <cfRule type="duplicateValues" dxfId="1708" priority="5557"/>
  </conditionalFormatting>
  <conditionalFormatting sqref="C8">
    <cfRule type="duplicateValues" dxfId="1707" priority="5556"/>
  </conditionalFormatting>
  <conditionalFormatting sqref="C8">
    <cfRule type="duplicateValues" dxfId="1706" priority="5555"/>
  </conditionalFormatting>
  <conditionalFormatting sqref="C8">
    <cfRule type="duplicateValues" dxfId="1705" priority="5554"/>
  </conditionalFormatting>
  <conditionalFormatting sqref="C8">
    <cfRule type="duplicateValues" dxfId="1704" priority="5553"/>
  </conditionalFormatting>
  <conditionalFormatting sqref="C8">
    <cfRule type="duplicateValues" dxfId="1703" priority="5552"/>
  </conditionalFormatting>
  <conditionalFormatting sqref="C8">
    <cfRule type="duplicateValues" dxfId="1702" priority="5551"/>
  </conditionalFormatting>
  <conditionalFormatting sqref="C8">
    <cfRule type="duplicateValues" dxfId="1701" priority="5550"/>
  </conditionalFormatting>
  <conditionalFormatting sqref="C8">
    <cfRule type="duplicateValues" dxfId="1700" priority="5549"/>
  </conditionalFormatting>
  <conditionalFormatting sqref="C8">
    <cfRule type="duplicateValues" dxfId="1699" priority="5548"/>
  </conditionalFormatting>
  <conditionalFormatting sqref="C8">
    <cfRule type="duplicateValues" dxfId="1698" priority="5547"/>
  </conditionalFormatting>
  <conditionalFormatting sqref="C8">
    <cfRule type="duplicateValues" dxfId="1697" priority="5546"/>
  </conditionalFormatting>
  <conditionalFormatting sqref="C8">
    <cfRule type="duplicateValues" dxfId="1696" priority="5545"/>
  </conditionalFormatting>
  <conditionalFormatting sqref="C8">
    <cfRule type="duplicateValues" dxfId="1695" priority="5544"/>
  </conditionalFormatting>
  <conditionalFormatting sqref="C8">
    <cfRule type="duplicateValues" dxfId="1694" priority="5543"/>
  </conditionalFormatting>
  <conditionalFormatting sqref="C8">
    <cfRule type="duplicateValues" dxfId="1693" priority="5542"/>
  </conditionalFormatting>
  <conditionalFormatting sqref="C8">
    <cfRule type="duplicateValues" dxfId="1692" priority="5541"/>
  </conditionalFormatting>
  <conditionalFormatting sqref="C8">
    <cfRule type="duplicateValues" dxfId="1691" priority="5540"/>
  </conditionalFormatting>
  <conditionalFormatting sqref="C8">
    <cfRule type="duplicateValues" dxfId="1690" priority="5539"/>
  </conditionalFormatting>
  <conditionalFormatting sqref="C8">
    <cfRule type="duplicateValues" dxfId="1689" priority="5538"/>
  </conditionalFormatting>
  <conditionalFormatting sqref="C8">
    <cfRule type="duplicateValues" dxfId="1688" priority="5537"/>
  </conditionalFormatting>
  <conditionalFormatting sqref="C8">
    <cfRule type="duplicateValues" dxfId="1687" priority="5536"/>
  </conditionalFormatting>
  <conditionalFormatting sqref="C8">
    <cfRule type="duplicateValues" dxfId="1686" priority="5535"/>
  </conditionalFormatting>
  <conditionalFormatting sqref="C8">
    <cfRule type="duplicateValues" dxfId="1685" priority="5534"/>
  </conditionalFormatting>
  <conditionalFormatting sqref="C8">
    <cfRule type="duplicateValues" dxfId="1684" priority="5533"/>
  </conditionalFormatting>
  <conditionalFormatting sqref="C8">
    <cfRule type="duplicateValues" dxfId="1683" priority="5532"/>
  </conditionalFormatting>
  <conditionalFormatting sqref="C8">
    <cfRule type="duplicateValues" dxfId="1682" priority="5531"/>
  </conditionalFormatting>
  <conditionalFormatting sqref="C8">
    <cfRule type="duplicateValues" dxfId="1681" priority="5530"/>
  </conditionalFormatting>
  <conditionalFormatting sqref="C8">
    <cfRule type="duplicateValues" dxfId="1680" priority="5529"/>
  </conditionalFormatting>
  <conditionalFormatting sqref="C8">
    <cfRule type="duplicateValues" dxfId="1679" priority="5528"/>
  </conditionalFormatting>
  <conditionalFormatting sqref="C8">
    <cfRule type="duplicateValues" dxfId="1678" priority="5527"/>
  </conditionalFormatting>
  <conditionalFormatting sqref="C8">
    <cfRule type="duplicateValues" dxfId="1677" priority="5526"/>
  </conditionalFormatting>
  <conditionalFormatting sqref="C8">
    <cfRule type="duplicateValues" dxfId="1676" priority="5525"/>
  </conditionalFormatting>
  <conditionalFormatting sqref="C8">
    <cfRule type="duplicateValues" dxfId="1675" priority="5523" stopIfTrue="1"/>
    <cfRule type="duplicateValues" dxfId="1674" priority="5524"/>
  </conditionalFormatting>
  <conditionalFormatting sqref="C8">
    <cfRule type="duplicateValues" dxfId="1673" priority="5522"/>
  </conditionalFormatting>
  <conditionalFormatting sqref="C8">
    <cfRule type="duplicateValues" dxfId="1672" priority="5521"/>
  </conditionalFormatting>
  <conditionalFormatting sqref="C8">
    <cfRule type="duplicateValues" dxfId="1671" priority="5520"/>
  </conditionalFormatting>
  <conditionalFormatting sqref="C8">
    <cfRule type="duplicateValues" dxfId="1670" priority="5519"/>
  </conditionalFormatting>
  <conditionalFormatting sqref="C8">
    <cfRule type="duplicateValues" dxfId="1669" priority="5517" stopIfTrue="1"/>
    <cfRule type="duplicateValues" dxfId="1668" priority="5518"/>
  </conditionalFormatting>
  <conditionalFormatting sqref="C8">
    <cfRule type="duplicateValues" dxfId="1667" priority="5516"/>
  </conditionalFormatting>
  <conditionalFormatting sqref="C8">
    <cfRule type="duplicateValues" dxfId="1666" priority="5514" stopIfTrue="1"/>
    <cfRule type="duplicateValues" dxfId="1665" priority="5515"/>
  </conditionalFormatting>
  <conditionalFormatting sqref="C8">
    <cfRule type="duplicateValues" dxfId="1664" priority="5513"/>
  </conditionalFormatting>
  <conditionalFormatting sqref="C8">
    <cfRule type="duplicateValues" dxfId="1663" priority="5511" stopIfTrue="1"/>
    <cfRule type="duplicateValues" dxfId="1662" priority="5512"/>
  </conditionalFormatting>
  <conditionalFormatting sqref="C8">
    <cfRule type="duplicateValues" dxfId="1661" priority="5510"/>
  </conditionalFormatting>
  <conditionalFormatting sqref="C8">
    <cfRule type="duplicateValues" dxfId="1660" priority="5508" stopIfTrue="1"/>
    <cfRule type="duplicateValues" dxfId="1659" priority="5509"/>
  </conditionalFormatting>
  <conditionalFormatting sqref="C8">
    <cfRule type="duplicateValues" dxfId="1658" priority="5507"/>
  </conditionalFormatting>
  <conditionalFormatting sqref="C8">
    <cfRule type="duplicateValues" dxfId="1657" priority="5505" stopIfTrue="1"/>
    <cfRule type="duplicateValues" dxfId="1656" priority="5506"/>
  </conditionalFormatting>
  <conditionalFormatting sqref="C8">
    <cfRule type="duplicateValues" dxfId="1655" priority="5504"/>
  </conditionalFormatting>
  <conditionalFormatting sqref="C8">
    <cfRule type="duplicateValues" dxfId="1654" priority="5503"/>
  </conditionalFormatting>
  <conditionalFormatting sqref="C8">
    <cfRule type="duplicateValues" dxfId="1653" priority="5502"/>
  </conditionalFormatting>
  <conditionalFormatting sqref="C8">
    <cfRule type="duplicateValues" dxfId="1652" priority="5501"/>
  </conditionalFormatting>
  <conditionalFormatting sqref="C8">
    <cfRule type="duplicateValues" dxfId="1651" priority="5500"/>
  </conditionalFormatting>
  <conditionalFormatting sqref="C8">
    <cfRule type="duplicateValues" dxfId="1650" priority="5499"/>
  </conditionalFormatting>
  <conditionalFormatting sqref="C8">
    <cfRule type="duplicateValues" dxfId="1649" priority="5498"/>
  </conditionalFormatting>
  <conditionalFormatting sqref="C8">
    <cfRule type="duplicateValues" dxfId="1648" priority="5497"/>
  </conditionalFormatting>
  <conditionalFormatting sqref="C8">
    <cfRule type="duplicateValues" dxfId="1647" priority="5496"/>
  </conditionalFormatting>
  <conditionalFormatting sqref="C8">
    <cfRule type="duplicateValues" dxfId="1646" priority="5495"/>
  </conditionalFormatting>
  <conditionalFormatting sqref="C8">
    <cfRule type="duplicateValues" dxfId="1645" priority="5494"/>
  </conditionalFormatting>
  <conditionalFormatting sqref="C8">
    <cfRule type="duplicateValues" dxfId="1644" priority="5493"/>
  </conditionalFormatting>
  <conditionalFormatting sqref="C8">
    <cfRule type="duplicateValues" dxfId="1643" priority="5492"/>
  </conditionalFormatting>
  <conditionalFormatting sqref="C8">
    <cfRule type="duplicateValues" dxfId="1642" priority="5491"/>
  </conditionalFormatting>
  <conditionalFormatting sqref="C8">
    <cfRule type="duplicateValues" dxfId="1641" priority="5490"/>
  </conditionalFormatting>
  <conditionalFormatting sqref="C8">
    <cfRule type="duplicateValues" dxfId="1640" priority="5489"/>
  </conditionalFormatting>
  <conditionalFormatting sqref="C8">
    <cfRule type="duplicateValues" dxfId="1639" priority="5488"/>
  </conditionalFormatting>
  <conditionalFormatting sqref="C8">
    <cfRule type="duplicateValues" dxfId="1638" priority="5487"/>
  </conditionalFormatting>
  <conditionalFormatting sqref="C8">
    <cfRule type="duplicateValues" dxfId="1637" priority="5486"/>
  </conditionalFormatting>
  <conditionalFormatting sqref="C8">
    <cfRule type="duplicateValues" dxfId="1636" priority="5485"/>
  </conditionalFormatting>
  <conditionalFormatting sqref="C8">
    <cfRule type="duplicateValues" dxfId="1635" priority="5484"/>
  </conditionalFormatting>
  <conditionalFormatting sqref="C8">
    <cfRule type="duplicateValues" dxfId="1634" priority="5483"/>
  </conditionalFormatting>
  <conditionalFormatting sqref="C8">
    <cfRule type="duplicateValues" dxfId="1633" priority="5482"/>
  </conditionalFormatting>
  <conditionalFormatting sqref="C8">
    <cfRule type="duplicateValues" dxfId="1632" priority="5481"/>
  </conditionalFormatting>
  <conditionalFormatting sqref="C8">
    <cfRule type="duplicateValues" dxfId="1631" priority="5480"/>
  </conditionalFormatting>
  <conditionalFormatting sqref="C8">
    <cfRule type="duplicateValues" dxfId="1630" priority="5479"/>
  </conditionalFormatting>
  <conditionalFormatting sqref="C8">
    <cfRule type="duplicateValues" dxfId="1629" priority="5478"/>
  </conditionalFormatting>
  <conditionalFormatting sqref="C8">
    <cfRule type="duplicateValues" dxfId="1628" priority="5477"/>
  </conditionalFormatting>
  <conditionalFormatting sqref="C8">
    <cfRule type="duplicateValues" dxfId="1627" priority="5476"/>
  </conditionalFormatting>
  <conditionalFormatting sqref="C8">
    <cfRule type="duplicateValues" dxfId="1626" priority="5475"/>
  </conditionalFormatting>
  <conditionalFormatting sqref="C8">
    <cfRule type="duplicateValues" dxfId="1625" priority="5474"/>
  </conditionalFormatting>
  <conditionalFormatting sqref="C8">
    <cfRule type="duplicateValues" dxfId="1624" priority="5473"/>
  </conditionalFormatting>
  <conditionalFormatting sqref="C8">
    <cfRule type="duplicateValues" dxfId="1623" priority="5472"/>
  </conditionalFormatting>
  <conditionalFormatting sqref="C8">
    <cfRule type="duplicateValues" dxfId="1622" priority="5471"/>
  </conditionalFormatting>
  <conditionalFormatting sqref="C8">
    <cfRule type="duplicateValues" dxfId="1621" priority="5470"/>
  </conditionalFormatting>
  <conditionalFormatting sqref="C8">
    <cfRule type="duplicateValues" dxfId="1620" priority="5469"/>
  </conditionalFormatting>
  <conditionalFormatting sqref="C8">
    <cfRule type="duplicateValues" dxfId="1619" priority="5468"/>
  </conditionalFormatting>
  <conditionalFormatting sqref="C8">
    <cfRule type="duplicateValues" dxfId="1618" priority="5467"/>
  </conditionalFormatting>
  <conditionalFormatting sqref="C8">
    <cfRule type="duplicateValues" dxfId="1617" priority="5466"/>
  </conditionalFormatting>
  <conditionalFormatting sqref="C8">
    <cfRule type="duplicateValues" dxfId="1616" priority="5465"/>
  </conditionalFormatting>
  <conditionalFormatting sqref="C8">
    <cfRule type="duplicateValues" dxfId="1615" priority="5463" stopIfTrue="1"/>
    <cfRule type="duplicateValues" dxfId="1614" priority="5464"/>
  </conditionalFormatting>
  <conditionalFormatting sqref="C8">
    <cfRule type="duplicateValues" dxfId="1613" priority="5462"/>
  </conditionalFormatting>
  <conditionalFormatting sqref="C8">
    <cfRule type="duplicateValues" dxfId="1612" priority="5461"/>
  </conditionalFormatting>
  <conditionalFormatting sqref="C8">
    <cfRule type="duplicateValues" dxfId="1611" priority="5460"/>
  </conditionalFormatting>
  <conditionalFormatting sqref="C8">
    <cfRule type="duplicateValues" dxfId="1610" priority="5459"/>
  </conditionalFormatting>
  <conditionalFormatting sqref="C8">
    <cfRule type="duplicateValues" dxfId="1609" priority="5457" stopIfTrue="1"/>
    <cfRule type="duplicateValues" dxfId="1608" priority="5458"/>
  </conditionalFormatting>
  <conditionalFormatting sqref="C8">
    <cfRule type="duplicateValues" dxfId="1607" priority="5456"/>
  </conditionalFormatting>
  <conditionalFormatting sqref="C8">
    <cfRule type="duplicateValues" dxfId="1606" priority="5455"/>
  </conditionalFormatting>
  <conditionalFormatting sqref="C8">
    <cfRule type="duplicateValues" dxfId="1605" priority="5454"/>
  </conditionalFormatting>
  <conditionalFormatting sqref="C8">
    <cfRule type="duplicateValues" dxfId="1604" priority="5452" stopIfTrue="1"/>
    <cfRule type="duplicateValues" dxfId="1603" priority="5453"/>
  </conditionalFormatting>
  <conditionalFormatting sqref="C8">
    <cfRule type="duplicateValues" dxfId="1602" priority="5451"/>
  </conditionalFormatting>
  <conditionalFormatting sqref="C8">
    <cfRule type="duplicateValues" dxfId="1601" priority="5449" stopIfTrue="1"/>
    <cfRule type="duplicateValues" dxfId="1600" priority="5450"/>
  </conditionalFormatting>
  <conditionalFormatting sqref="C8">
    <cfRule type="duplicateValues" dxfId="1599" priority="5448"/>
  </conditionalFormatting>
  <conditionalFormatting sqref="C8">
    <cfRule type="duplicateValues" dxfId="1598" priority="5446" stopIfTrue="1"/>
    <cfRule type="duplicateValues" dxfId="1597" priority="5447"/>
  </conditionalFormatting>
  <conditionalFormatting sqref="C8">
    <cfRule type="duplicateValues" dxfId="1596" priority="5445"/>
  </conditionalFormatting>
  <conditionalFormatting sqref="C8">
    <cfRule type="duplicateValues" dxfId="1595" priority="5443" stopIfTrue="1"/>
    <cfRule type="duplicateValues" dxfId="1594" priority="5444"/>
  </conditionalFormatting>
  <conditionalFormatting sqref="C8">
    <cfRule type="duplicateValues" dxfId="1593" priority="5442"/>
  </conditionalFormatting>
  <conditionalFormatting sqref="C8">
    <cfRule type="duplicateValues" dxfId="1592" priority="5440" stopIfTrue="1"/>
    <cfRule type="duplicateValues" dxfId="1591" priority="5441"/>
  </conditionalFormatting>
  <conditionalFormatting sqref="C8">
    <cfRule type="duplicateValues" dxfId="1590" priority="5439"/>
  </conditionalFormatting>
  <conditionalFormatting sqref="C8">
    <cfRule type="duplicateValues" dxfId="1589" priority="5438"/>
  </conditionalFormatting>
  <conditionalFormatting sqref="C8">
    <cfRule type="duplicateValues" dxfId="1588" priority="5437"/>
  </conditionalFormatting>
  <conditionalFormatting sqref="C8">
    <cfRule type="duplicateValues" dxfId="1587" priority="5436"/>
  </conditionalFormatting>
  <conditionalFormatting sqref="C8">
    <cfRule type="duplicateValues" dxfId="1586" priority="5435"/>
  </conditionalFormatting>
  <conditionalFormatting sqref="C8">
    <cfRule type="duplicateValues" dxfId="1585" priority="5434"/>
  </conditionalFormatting>
  <conditionalFormatting sqref="C8">
    <cfRule type="duplicateValues" dxfId="1584" priority="5432" stopIfTrue="1"/>
    <cfRule type="duplicateValues" dxfId="1583" priority="5433"/>
  </conditionalFormatting>
  <conditionalFormatting sqref="C8">
    <cfRule type="duplicateValues" dxfId="1582" priority="5431"/>
  </conditionalFormatting>
  <conditionalFormatting sqref="C8">
    <cfRule type="duplicateValues" dxfId="1581" priority="5429" stopIfTrue="1"/>
    <cfRule type="duplicateValues" dxfId="1580" priority="5430"/>
  </conditionalFormatting>
  <conditionalFormatting sqref="C8">
    <cfRule type="duplicateValues" dxfId="1579" priority="5428"/>
  </conditionalFormatting>
  <conditionalFormatting sqref="C8">
    <cfRule type="duplicateValues" dxfId="1578" priority="5426" stopIfTrue="1"/>
    <cfRule type="duplicateValues" dxfId="1577" priority="5427"/>
  </conditionalFormatting>
  <conditionalFormatting sqref="C8">
    <cfRule type="duplicateValues" dxfId="1576" priority="5425"/>
  </conditionalFormatting>
  <conditionalFormatting sqref="C8">
    <cfRule type="duplicateValues" dxfId="1575" priority="5423" stopIfTrue="1"/>
    <cfRule type="duplicateValues" dxfId="1574" priority="5424"/>
  </conditionalFormatting>
  <conditionalFormatting sqref="C8">
    <cfRule type="duplicateValues" dxfId="1573" priority="5422"/>
  </conditionalFormatting>
  <conditionalFormatting sqref="C8">
    <cfRule type="duplicateValues" dxfId="1572" priority="5420" stopIfTrue="1"/>
    <cfRule type="duplicateValues" dxfId="1571" priority="5421"/>
  </conditionalFormatting>
  <conditionalFormatting sqref="C8">
    <cfRule type="duplicateValues" dxfId="1570" priority="5419"/>
  </conditionalFormatting>
  <conditionalFormatting sqref="C8">
    <cfRule type="duplicateValues" dxfId="1569" priority="5418"/>
  </conditionalFormatting>
  <conditionalFormatting sqref="C8">
    <cfRule type="duplicateValues" dxfId="1568" priority="5417"/>
  </conditionalFormatting>
  <conditionalFormatting sqref="C8">
    <cfRule type="duplicateValues" dxfId="1567" priority="5416"/>
  </conditionalFormatting>
  <conditionalFormatting sqref="C8">
    <cfRule type="duplicateValues" dxfId="1566" priority="5415"/>
  </conditionalFormatting>
  <conditionalFormatting sqref="C8">
    <cfRule type="duplicateValues" dxfId="1565" priority="5414"/>
  </conditionalFormatting>
  <conditionalFormatting sqref="C8">
    <cfRule type="duplicateValues" dxfId="1564" priority="5412" stopIfTrue="1"/>
    <cfRule type="duplicateValues" dxfId="1563" priority="5413"/>
  </conditionalFormatting>
  <conditionalFormatting sqref="C8">
    <cfRule type="duplicateValues" dxfId="1562" priority="5411"/>
  </conditionalFormatting>
  <conditionalFormatting sqref="C8">
    <cfRule type="duplicateValues" dxfId="1561" priority="5409" stopIfTrue="1"/>
    <cfRule type="duplicateValues" dxfId="1560" priority="5410"/>
  </conditionalFormatting>
  <conditionalFormatting sqref="C8">
    <cfRule type="duplicateValues" dxfId="1559" priority="5408"/>
  </conditionalFormatting>
  <conditionalFormatting sqref="C8">
    <cfRule type="duplicateValues" dxfId="1558" priority="5406" stopIfTrue="1"/>
    <cfRule type="duplicateValues" dxfId="1557" priority="5407"/>
  </conditionalFormatting>
  <conditionalFormatting sqref="C8">
    <cfRule type="duplicateValues" dxfId="1556" priority="5405"/>
  </conditionalFormatting>
  <conditionalFormatting sqref="C8">
    <cfRule type="duplicateValues" dxfId="1555" priority="5403" stopIfTrue="1"/>
    <cfRule type="duplicateValues" dxfId="1554" priority="5404"/>
  </conditionalFormatting>
  <conditionalFormatting sqref="C8">
    <cfRule type="duplicateValues" dxfId="1553" priority="5402"/>
  </conditionalFormatting>
  <conditionalFormatting sqref="C8">
    <cfRule type="duplicateValues" dxfId="1552" priority="5400" stopIfTrue="1"/>
    <cfRule type="duplicateValues" dxfId="1551" priority="5401"/>
  </conditionalFormatting>
  <conditionalFormatting sqref="C8">
    <cfRule type="duplicateValues" dxfId="1550" priority="5399"/>
  </conditionalFormatting>
  <conditionalFormatting sqref="C8">
    <cfRule type="duplicateValues" dxfId="1549" priority="5398"/>
  </conditionalFormatting>
  <conditionalFormatting sqref="C8">
    <cfRule type="duplicateValues" dxfId="1548" priority="5397"/>
  </conditionalFormatting>
  <conditionalFormatting sqref="C8">
    <cfRule type="duplicateValues" dxfId="1547" priority="5396"/>
  </conditionalFormatting>
  <conditionalFormatting sqref="C8">
    <cfRule type="duplicateValues" dxfId="1546" priority="5395"/>
  </conditionalFormatting>
  <conditionalFormatting sqref="C8">
    <cfRule type="duplicateValues" dxfId="1545" priority="5394"/>
  </conditionalFormatting>
  <conditionalFormatting sqref="C8">
    <cfRule type="duplicateValues" dxfId="1544" priority="5393"/>
  </conditionalFormatting>
  <conditionalFormatting sqref="C8">
    <cfRule type="duplicateValues" dxfId="1543" priority="5392"/>
  </conditionalFormatting>
  <conditionalFormatting sqref="C8">
    <cfRule type="duplicateValues" dxfId="1542" priority="5391"/>
  </conditionalFormatting>
  <conditionalFormatting sqref="C8">
    <cfRule type="duplicateValues" dxfId="1541" priority="5390"/>
  </conditionalFormatting>
  <conditionalFormatting sqref="C8">
    <cfRule type="duplicateValues" dxfId="1540" priority="5389"/>
  </conditionalFormatting>
  <conditionalFormatting sqref="C8">
    <cfRule type="duplicateValues" dxfId="1539" priority="5388"/>
  </conditionalFormatting>
  <conditionalFormatting sqref="C8">
    <cfRule type="duplicateValues" dxfId="1538" priority="5387"/>
  </conditionalFormatting>
  <conditionalFormatting sqref="C8">
    <cfRule type="duplicateValues" dxfId="1537" priority="5386"/>
  </conditionalFormatting>
  <conditionalFormatting sqref="C8">
    <cfRule type="duplicateValues" dxfId="1536" priority="5385"/>
  </conditionalFormatting>
  <conditionalFormatting sqref="C8">
    <cfRule type="duplicateValues" dxfId="1535" priority="5384"/>
  </conditionalFormatting>
  <conditionalFormatting sqref="C8">
    <cfRule type="duplicateValues" dxfId="1534" priority="5383"/>
  </conditionalFormatting>
  <conditionalFormatting sqref="C8">
    <cfRule type="duplicateValues" dxfId="1533" priority="5382"/>
  </conditionalFormatting>
  <conditionalFormatting sqref="C8">
    <cfRule type="duplicateValues" dxfId="1532" priority="5381"/>
  </conditionalFormatting>
  <conditionalFormatting sqref="C8">
    <cfRule type="duplicateValues" dxfId="1531" priority="5380"/>
  </conditionalFormatting>
  <conditionalFormatting sqref="C8">
    <cfRule type="duplicateValues" dxfId="1530" priority="5379"/>
  </conditionalFormatting>
  <conditionalFormatting sqref="C8">
    <cfRule type="duplicateValues" dxfId="1529" priority="5378"/>
  </conditionalFormatting>
  <conditionalFormatting sqref="C8">
    <cfRule type="duplicateValues" dxfId="1528" priority="5377"/>
  </conditionalFormatting>
  <conditionalFormatting sqref="C8">
    <cfRule type="duplicateValues" dxfId="1527" priority="5376"/>
  </conditionalFormatting>
  <conditionalFormatting sqref="C8">
    <cfRule type="duplicateValues" dxfId="1526" priority="5375"/>
  </conditionalFormatting>
  <conditionalFormatting sqref="C8">
    <cfRule type="duplicateValues" dxfId="1525" priority="5374"/>
  </conditionalFormatting>
  <conditionalFormatting sqref="C8">
    <cfRule type="duplicateValues" dxfId="1524" priority="5373"/>
  </conditionalFormatting>
  <conditionalFormatting sqref="C8">
    <cfRule type="duplicateValues" dxfId="1523" priority="5372"/>
  </conditionalFormatting>
  <conditionalFormatting sqref="C8">
    <cfRule type="duplicateValues" dxfId="1522" priority="5371"/>
  </conditionalFormatting>
  <conditionalFormatting sqref="C8">
    <cfRule type="duplicateValues" dxfId="1521" priority="5370"/>
  </conditionalFormatting>
  <conditionalFormatting sqref="C8">
    <cfRule type="duplicateValues" dxfId="1520" priority="5369"/>
  </conditionalFormatting>
  <conditionalFormatting sqref="C8">
    <cfRule type="duplicateValues" dxfId="1519" priority="5368"/>
  </conditionalFormatting>
  <conditionalFormatting sqref="C8">
    <cfRule type="duplicateValues" dxfId="1518" priority="5367"/>
  </conditionalFormatting>
  <conditionalFormatting sqref="C8">
    <cfRule type="duplicateValues" dxfId="1517" priority="5366"/>
  </conditionalFormatting>
  <conditionalFormatting sqref="C8">
    <cfRule type="duplicateValues" dxfId="1516" priority="5365"/>
  </conditionalFormatting>
  <conditionalFormatting sqref="C8">
    <cfRule type="duplicateValues" dxfId="1515" priority="5364"/>
  </conditionalFormatting>
  <conditionalFormatting sqref="C8">
    <cfRule type="duplicateValues" dxfId="1514" priority="5363"/>
  </conditionalFormatting>
  <conditionalFormatting sqref="C8">
    <cfRule type="duplicateValues" dxfId="1513" priority="5362"/>
  </conditionalFormatting>
  <conditionalFormatting sqref="C8">
    <cfRule type="duplicateValues" dxfId="1512" priority="5361"/>
  </conditionalFormatting>
  <conditionalFormatting sqref="C8">
    <cfRule type="duplicateValues" dxfId="1511" priority="5360"/>
  </conditionalFormatting>
  <conditionalFormatting sqref="C8">
    <cfRule type="duplicateValues" dxfId="1510" priority="5358" stopIfTrue="1"/>
    <cfRule type="duplicateValues" dxfId="1509" priority="5359"/>
  </conditionalFormatting>
  <conditionalFormatting sqref="C8">
    <cfRule type="duplicateValues" dxfId="1508" priority="5357"/>
  </conditionalFormatting>
  <conditionalFormatting sqref="C8">
    <cfRule type="duplicateValues" dxfId="1507" priority="5356"/>
  </conditionalFormatting>
  <conditionalFormatting sqref="C8">
    <cfRule type="duplicateValues" dxfId="1506" priority="5355"/>
  </conditionalFormatting>
  <conditionalFormatting sqref="C8">
    <cfRule type="duplicateValues" dxfId="1505" priority="5354"/>
  </conditionalFormatting>
  <conditionalFormatting sqref="C8">
    <cfRule type="duplicateValues" dxfId="1504" priority="5352" stopIfTrue="1"/>
    <cfRule type="duplicateValues" dxfId="1503" priority="5353"/>
  </conditionalFormatting>
  <conditionalFormatting sqref="C8">
    <cfRule type="duplicateValues" dxfId="1502" priority="5351"/>
  </conditionalFormatting>
  <conditionalFormatting sqref="C8">
    <cfRule type="duplicateValues" dxfId="1501" priority="5349" stopIfTrue="1"/>
    <cfRule type="duplicateValues" dxfId="1500" priority="5350"/>
  </conditionalFormatting>
  <conditionalFormatting sqref="C8">
    <cfRule type="duplicateValues" dxfId="1499" priority="5348"/>
  </conditionalFormatting>
  <conditionalFormatting sqref="C8">
    <cfRule type="duplicateValues" dxfId="1498" priority="5346" stopIfTrue="1"/>
    <cfRule type="duplicateValues" dxfId="1497" priority="5347"/>
  </conditionalFormatting>
  <conditionalFormatting sqref="C8">
    <cfRule type="duplicateValues" dxfId="1496" priority="5345"/>
  </conditionalFormatting>
  <conditionalFormatting sqref="C8">
    <cfRule type="duplicateValues" dxfId="1495" priority="5343" stopIfTrue="1"/>
    <cfRule type="duplicateValues" dxfId="1494" priority="5344"/>
  </conditionalFormatting>
  <conditionalFormatting sqref="C8">
    <cfRule type="duplicateValues" dxfId="1493" priority="5342"/>
  </conditionalFormatting>
  <conditionalFormatting sqref="C8">
    <cfRule type="duplicateValues" dxfId="1492" priority="5340" stopIfTrue="1"/>
    <cfRule type="duplicateValues" dxfId="1491" priority="5341"/>
  </conditionalFormatting>
  <conditionalFormatting sqref="C8">
    <cfRule type="duplicateValues" dxfId="1490" priority="5339"/>
  </conditionalFormatting>
  <conditionalFormatting sqref="C8">
    <cfRule type="duplicateValues" dxfId="1489" priority="5338"/>
  </conditionalFormatting>
  <conditionalFormatting sqref="C8">
    <cfRule type="duplicateValues" dxfId="1488" priority="5337"/>
  </conditionalFormatting>
  <conditionalFormatting sqref="C8">
    <cfRule type="duplicateValues" dxfId="1487" priority="5336"/>
  </conditionalFormatting>
  <conditionalFormatting sqref="C8">
    <cfRule type="duplicateValues" dxfId="1486" priority="5335"/>
  </conditionalFormatting>
  <conditionalFormatting sqref="C8">
    <cfRule type="duplicateValues" dxfId="1485" priority="5334"/>
  </conditionalFormatting>
  <conditionalFormatting sqref="C8">
    <cfRule type="duplicateValues" dxfId="1484" priority="5332" stopIfTrue="1"/>
    <cfRule type="duplicateValues" dxfId="1483" priority="5333"/>
  </conditionalFormatting>
  <conditionalFormatting sqref="C8">
    <cfRule type="duplicateValues" dxfId="1482" priority="5331"/>
  </conditionalFormatting>
  <conditionalFormatting sqref="C8">
    <cfRule type="duplicateValues" dxfId="1481" priority="5329" stopIfTrue="1"/>
    <cfRule type="duplicateValues" dxfId="1480" priority="5330"/>
  </conditionalFormatting>
  <conditionalFormatting sqref="C8">
    <cfRule type="duplicateValues" dxfId="1479" priority="5328"/>
  </conditionalFormatting>
  <conditionalFormatting sqref="C8">
    <cfRule type="duplicateValues" dxfId="1478" priority="5326" stopIfTrue="1"/>
    <cfRule type="duplicateValues" dxfId="1477" priority="5327"/>
  </conditionalFormatting>
  <conditionalFormatting sqref="C8">
    <cfRule type="duplicateValues" dxfId="1476" priority="5325"/>
  </conditionalFormatting>
  <conditionalFormatting sqref="C8">
    <cfRule type="duplicateValues" dxfId="1475" priority="5323" stopIfTrue="1"/>
    <cfRule type="duplicateValues" dxfId="1474" priority="5324"/>
  </conditionalFormatting>
  <conditionalFormatting sqref="C8">
    <cfRule type="duplicateValues" dxfId="1473" priority="5322"/>
  </conditionalFormatting>
  <conditionalFormatting sqref="C8">
    <cfRule type="duplicateValues" dxfId="1472" priority="5320" stopIfTrue="1"/>
    <cfRule type="duplicateValues" dxfId="1471" priority="5321"/>
  </conditionalFormatting>
  <conditionalFormatting sqref="C8">
    <cfRule type="duplicateValues" dxfId="1470" priority="5319"/>
  </conditionalFormatting>
  <conditionalFormatting sqref="C8">
    <cfRule type="duplicateValues" dxfId="1469" priority="5318"/>
  </conditionalFormatting>
  <conditionalFormatting sqref="C8">
    <cfRule type="duplicateValues" dxfId="1468" priority="5317"/>
  </conditionalFormatting>
  <conditionalFormatting sqref="C8">
    <cfRule type="duplicateValues" dxfId="1467" priority="5316"/>
  </conditionalFormatting>
  <conditionalFormatting sqref="C8">
    <cfRule type="duplicateValues" dxfId="1466" priority="5315"/>
  </conditionalFormatting>
  <conditionalFormatting sqref="C8">
    <cfRule type="duplicateValues" dxfId="1465" priority="5314"/>
  </conditionalFormatting>
  <conditionalFormatting sqref="C8">
    <cfRule type="duplicateValues" dxfId="1464" priority="5313"/>
  </conditionalFormatting>
  <conditionalFormatting sqref="C8">
    <cfRule type="duplicateValues" dxfId="1463" priority="5312"/>
  </conditionalFormatting>
  <conditionalFormatting sqref="C8">
    <cfRule type="duplicateValues" dxfId="1462" priority="5311"/>
  </conditionalFormatting>
  <conditionalFormatting sqref="C8">
    <cfRule type="duplicateValues" dxfId="1461" priority="5310"/>
  </conditionalFormatting>
  <conditionalFormatting sqref="C8">
    <cfRule type="duplicateValues" dxfId="1460" priority="5309"/>
  </conditionalFormatting>
  <conditionalFormatting sqref="C8">
    <cfRule type="duplicateValues" dxfId="1459" priority="5308"/>
  </conditionalFormatting>
  <conditionalFormatting sqref="C8">
    <cfRule type="duplicateValues" dxfId="1458" priority="5307"/>
  </conditionalFormatting>
  <conditionalFormatting sqref="C8">
    <cfRule type="duplicateValues" dxfId="1457" priority="5306"/>
  </conditionalFormatting>
  <conditionalFormatting sqref="C8">
    <cfRule type="duplicateValues" dxfId="1456" priority="5305"/>
  </conditionalFormatting>
  <conditionalFormatting sqref="C8">
    <cfRule type="duplicateValues" dxfId="1455" priority="5304"/>
  </conditionalFormatting>
  <conditionalFormatting sqref="C8">
    <cfRule type="duplicateValues" dxfId="1454" priority="5303"/>
  </conditionalFormatting>
  <conditionalFormatting sqref="C8">
    <cfRule type="duplicateValues" dxfId="1453" priority="5302"/>
  </conditionalFormatting>
  <conditionalFormatting sqref="C8">
    <cfRule type="duplicateValues" dxfId="1452" priority="5301"/>
  </conditionalFormatting>
  <conditionalFormatting sqref="C8">
    <cfRule type="duplicateValues" dxfId="1451" priority="5300"/>
  </conditionalFormatting>
  <conditionalFormatting sqref="C8">
    <cfRule type="duplicateValues" dxfId="1450" priority="5299"/>
  </conditionalFormatting>
  <conditionalFormatting sqref="C8">
    <cfRule type="duplicateValues" dxfId="1449" priority="5298"/>
  </conditionalFormatting>
  <conditionalFormatting sqref="C8">
    <cfRule type="duplicateValues" dxfId="1448" priority="5297"/>
  </conditionalFormatting>
  <conditionalFormatting sqref="C8">
    <cfRule type="duplicateValues" dxfId="1447" priority="5296"/>
  </conditionalFormatting>
  <conditionalFormatting sqref="C8">
    <cfRule type="duplicateValues" dxfId="1446" priority="5295"/>
  </conditionalFormatting>
  <conditionalFormatting sqref="C8">
    <cfRule type="duplicateValues" dxfId="1445" priority="5294"/>
  </conditionalFormatting>
  <conditionalFormatting sqref="C8">
    <cfRule type="duplicateValues" dxfId="1444" priority="5293"/>
  </conditionalFormatting>
  <conditionalFormatting sqref="C8">
    <cfRule type="duplicateValues" dxfId="1443" priority="5292"/>
  </conditionalFormatting>
  <conditionalFormatting sqref="C8">
    <cfRule type="duplicateValues" dxfId="1442" priority="5291"/>
  </conditionalFormatting>
  <conditionalFormatting sqref="C8">
    <cfRule type="duplicateValues" dxfId="1441" priority="5290"/>
  </conditionalFormatting>
  <conditionalFormatting sqref="C8">
    <cfRule type="duplicateValues" dxfId="1440" priority="5289"/>
  </conditionalFormatting>
  <conditionalFormatting sqref="C8">
    <cfRule type="duplicateValues" dxfId="1439" priority="5288"/>
  </conditionalFormatting>
  <conditionalFormatting sqref="C8">
    <cfRule type="duplicateValues" dxfId="1438" priority="5287"/>
  </conditionalFormatting>
  <conditionalFormatting sqref="C8">
    <cfRule type="duplicateValues" dxfId="1437" priority="5286"/>
  </conditionalFormatting>
  <conditionalFormatting sqref="C8">
    <cfRule type="duplicateValues" dxfId="1436" priority="5285"/>
  </conditionalFormatting>
  <conditionalFormatting sqref="C8">
    <cfRule type="duplicateValues" dxfId="1435" priority="5284"/>
  </conditionalFormatting>
  <conditionalFormatting sqref="C8">
    <cfRule type="duplicateValues" dxfId="1434" priority="5283"/>
  </conditionalFormatting>
  <conditionalFormatting sqref="C8">
    <cfRule type="duplicateValues" dxfId="1433" priority="5282"/>
  </conditionalFormatting>
  <conditionalFormatting sqref="C8">
    <cfRule type="duplicateValues" dxfId="1432" priority="5281"/>
  </conditionalFormatting>
  <conditionalFormatting sqref="C8">
    <cfRule type="duplicateValues" dxfId="1431" priority="5280"/>
  </conditionalFormatting>
  <conditionalFormatting sqref="C8">
    <cfRule type="duplicateValues" dxfId="1430" priority="5278" stopIfTrue="1"/>
    <cfRule type="duplicateValues" dxfId="1429" priority="5279"/>
  </conditionalFormatting>
  <conditionalFormatting sqref="C8">
    <cfRule type="duplicateValues" dxfId="1428" priority="5277"/>
  </conditionalFormatting>
  <conditionalFormatting sqref="C8">
    <cfRule type="duplicateValues" dxfId="1427" priority="5276"/>
  </conditionalFormatting>
  <conditionalFormatting sqref="C8">
    <cfRule type="duplicateValues" dxfId="1426" priority="5275"/>
  </conditionalFormatting>
  <conditionalFormatting sqref="C8">
    <cfRule type="duplicateValues" dxfId="1425" priority="5274"/>
  </conditionalFormatting>
  <conditionalFormatting sqref="C8">
    <cfRule type="duplicateValues" dxfId="1424" priority="5272" stopIfTrue="1"/>
    <cfRule type="duplicateValues" dxfId="1423" priority="5273"/>
  </conditionalFormatting>
  <conditionalFormatting sqref="C8">
    <cfRule type="duplicateValues" dxfId="1422" priority="5271"/>
  </conditionalFormatting>
  <conditionalFormatting sqref="C8">
    <cfRule type="duplicateValues" dxfId="1421" priority="5269" stopIfTrue="1"/>
    <cfRule type="duplicateValues" dxfId="1420" priority="5270"/>
  </conditionalFormatting>
  <conditionalFormatting sqref="C8">
    <cfRule type="duplicateValues" dxfId="1419" priority="5268"/>
  </conditionalFormatting>
  <conditionalFormatting sqref="C8">
    <cfRule type="duplicateValues" dxfId="1418" priority="5266" stopIfTrue="1"/>
    <cfRule type="duplicateValues" dxfId="1417" priority="5267"/>
  </conditionalFormatting>
  <conditionalFormatting sqref="C8">
    <cfRule type="duplicateValues" dxfId="1416" priority="5265"/>
  </conditionalFormatting>
  <conditionalFormatting sqref="C8">
    <cfRule type="duplicateValues" dxfId="1415" priority="5263" stopIfTrue="1"/>
    <cfRule type="duplicateValues" dxfId="1414" priority="5264"/>
  </conditionalFormatting>
  <conditionalFormatting sqref="C8">
    <cfRule type="duplicateValues" dxfId="1413" priority="5262"/>
  </conditionalFormatting>
  <conditionalFormatting sqref="C8">
    <cfRule type="duplicateValues" dxfId="1412" priority="5260" stopIfTrue="1"/>
    <cfRule type="duplicateValues" dxfId="1411" priority="5261"/>
  </conditionalFormatting>
  <conditionalFormatting sqref="C8">
    <cfRule type="duplicateValues" dxfId="1410" priority="5259"/>
  </conditionalFormatting>
  <conditionalFormatting sqref="C8">
    <cfRule type="duplicateValues" dxfId="1409" priority="5258"/>
  </conditionalFormatting>
  <conditionalFormatting sqref="C8">
    <cfRule type="duplicateValues" dxfId="1408" priority="5257"/>
  </conditionalFormatting>
  <conditionalFormatting sqref="C8">
    <cfRule type="duplicateValues" dxfId="1407" priority="5256"/>
  </conditionalFormatting>
  <conditionalFormatting sqref="C8">
    <cfRule type="duplicateValues" dxfId="1406" priority="5255"/>
  </conditionalFormatting>
  <conditionalFormatting sqref="C8">
    <cfRule type="duplicateValues" dxfId="1405" priority="5254"/>
  </conditionalFormatting>
  <conditionalFormatting sqref="C8">
    <cfRule type="duplicateValues" dxfId="1404" priority="5253"/>
  </conditionalFormatting>
  <conditionalFormatting sqref="C8">
    <cfRule type="duplicateValues" dxfId="1403" priority="5252"/>
  </conditionalFormatting>
  <conditionalFormatting sqref="C8">
    <cfRule type="duplicateValues" dxfId="1402" priority="5251"/>
  </conditionalFormatting>
  <conditionalFormatting sqref="C8">
    <cfRule type="duplicateValues" dxfId="1401" priority="5250"/>
  </conditionalFormatting>
  <conditionalFormatting sqref="C8">
    <cfRule type="duplicateValues" dxfId="1400" priority="5249"/>
  </conditionalFormatting>
  <conditionalFormatting sqref="C8">
    <cfRule type="duplicateValues" dxfId="1399" priority="5248"/>
  </conditionalFormatting>
  <conditionalFormatting sqref="C8">
    <cfRule type="duplicateValues" dxfId="1398" priority="5247"/>
  </conditionalFormatting>
  <conditionalFormatting sqref="C8">
    <cfRule type="duplicateValues" dxfId="1397" priority="5246"/>
  </conditionalFormatting>
  <conditionalFormatting sqref="C8">
    <cfRule type="duplicateValues" dxfId="1396" priority="5245"/>
  </conditionalFormatting>
  <conditionalFormatting sqref="C8">
    <cfRule type="duplicateValues" dxfId="1395" priority="5244"/>
  </conditionalFormatting>
  <conditionalFormatting sqref="C8">
    <cfRule type="duplicateValues" dxfId="1394" priority="5243"/>
  </conditionalFormatting>
  <conditionalFormatting sqref="C8">
    <cfRule type="duplicateValues" dxfId="1393" priority="5242"/>
  </conditionalFormatting>
  <conditionalFormatting sqref="C8">
    <cfRule type="duplicateValues" dxfId="1392" priority="5241"/>
  </conditionalFormatting>
  <conditionalFormatting sqref="C8">
    <cfRule type="duplicateValues" dxfId="1391" priority="5240"/>
  </conditionalFormatting>
  <conditionalFormatting sqref="C8">
    <cfRule type="duplicateValues" dxfId="1390" priority="5239"/>
  </conditionalFormatting>
  <conditionalFormatting sqref="C8">
    <cfRule type="duplicateValues" dxfId="1389" priority="5238"/>
  </conditionalFormatting>
  <conditionalFormatting sqref="C8">
    <cfRule type="duplicateValues" dxfId="1388" priority="5237"/>
  </conditionalFormatting>
  <conditionalFormatting sqref="C8">
    <cfRule type="duplicateValues" dxfId="1387" priority="5236"/>
  </conditionalFormatting>
  <conditionalFormatting sqref="C8">
    <cfRule type="duplicateValues" dxfId="1386" priority="5235"/>
  </conditionalFormatting>
  <conditionalFormatting sqref="C8">
    <cfRule type="duplicateValues" dxfId="1385" priority="5234"/>
  </conditionalFormatting>
  <conditionalFormatting sqref="C8">
    <cfRule type="duplicateValues" dxfId="1384" priority="5233"/>
  </conditionalFormatting>
  <conditionalFormatting sqref="C8">
    <cfRule type="duplicateValues" dxfId="1383" priority="5232"/>
  </conditionalFormatting>
  <conditionalFormatting sqref="C8">
    <cfRule type="duplicateValues" dxfId="1382" priority="5231"/>
  </conditionalFormatting>
  <conditionalFormatting sqref="C8">
    <cfRule type="duplicateValues" dxfId="1381" priority="5230"/>
  </conditionalFormatting>
  <conditionalFormatting sqref="C8">
    <cfRule type="duplicateValues" dxfId="1380" priority="5229"/>
  </conditionalFormatting>
  <conditionalFormatting sqref="C8">
    <cfRule type="duplicateValues" dxfId="1379" priority="5228"/>
  </conditionalFormatting>
  <conditionalFormatting sqref="C8">
    <cfRule type="duplicateValues" dxfId="1378" priority="5227"/>
  </conditionalFormatting>
  <conditionalFormatting sqref="C8">
    <cfRule type="duplicateValues" dxfId="1377" priority="5226"/>
  </conditionalFormatting>
  <conditionalFormatting sqref="C8">
    <cfRule type="duplicateValues" dxfId="1376" priority="5225"/>
  </conditionalFormatting>
  <conditionalFormatting sqref="C8">
    <cfRule type="duplicateValues" dxfId="1375" priority="5224"/>
  </conditionalFormatting>
  <conditionalFormatting sqref="C8">
    <cfRule type="duplicateValues" dxfId="1374" priority="5223"/>
  </conditionalFormatting>
  <conditionalFormatting sqref="C8">
    <cfRule type="duplicateValues" dxfId="1373" priority="5222"/>
  </conditionalFormatting>
  <conditionalFormatting sqref="C8">
    <cfRule type="duplicateValues" dxfId="1372" priority="5221"/>
  </conditionalFormatting>
  <conditionalFormatting sqref="C8">
    <cfRule type="duplicateValues" dxfId="1371" priority="5220"/>
  </conditionalFormatting>
  <conditionalFormatting sqref="C8">
    <cfRule type="duplicateValues" dxfId="1370" priority="5218" stopIfTrue="1"/>
    <cfRule type="duplicateValues" dxfId="1369" priority="5219"/>
  </conditionalFormatting>
  <conditionalFormatting sqref="C8">
    <cfRule type="duplicateValues" dxfId="1368" priority="5217"/>
  </conditionalFormatting>
  <conditionalFormatting sqref="C8">
    <cfRule type="duplicateValues" dxfId="1367" priority="5216"/>
  </conditionalFormatting>
  <conditionalFormatting sqref="C8">
    <cfRule type="duplicateValues" dxfId="1366" priority="5215"/>
  </conditionalFormatting>
  <conditionalFormatting sqref="C8">
    <cfRule type="duplicateValues" dxfId="1365" priority="5214"/>
  </conditionalFormatting>
  <conditionalFormatting sqref="C8">
    <cfRule type="duplicateValues" dxfId="1364" priority="5212" stopIfTrue="1"/>
    <cfRule type="duplicateValues" dxfId="1363" priority="5213"/>
  </conditionalFormatting>
  <conditionalFormatting sqref="C8">
    <cfRule type="duplicateValues" dxfId="1362" priority="5211"/>
  </conditionalFormatting>
  <conditionalFormatting sqref="C8">
    <cfRule type="duplicateValues" dxfId="1361" priority="5210"/>
  </conditionalFormatting>
  <conditionalFormatting sqref="C8">
    <cfRule type="duplicateValues" dxfId="1360" priority="5209"/>
  </conditionalFormatting>
  <conditionalFormatting sqref="C8">
    <cfRule type="duplicateValues" dxfId="1359" priority="5207" stopIfTrue="1"/>
    <cfRule type="duplicateValues" dxfId="1358" priority="5208"/>
  </conditionalFormatting>
  <conditionalFormatting sqref="C8">
    <cfRule type="duplicateValues" dxfId="1357" priority="5206"/>
  </conditionalFormatting>
  <conditionalFormatting sqref="C8">
    <cfRule type="duplicateValues" dxfId="1356" priority="5204" stopIfTrue="1"/>
    <cfRule type="duplicateValues" dxfId="1355" priority="5205"/>
  </conditionalFormatting>
  <conditionalFormatting sqref="C8">
    <cfRule type="duplicateValues" dxfId="1354" priority="5203"/>
  </conditionalFormatting>
  <conditionalFormatting sqref="C8">
    <cfRule type="duplicateValues" dxfId="1353" priority="5201" stopIfTrue="1"/>
    <cfRule type="duplicateValues" dxfId="1352" priority="5202"/>
  </conditionalFormatting>
  <conditionalFormatting sqref="C8">
    <cfRule type="duplicateValues" dxfId="1351" priority="5200"/>
  </conditionalFormatting>
  <conditionalFormatting sqref="C8">
    <cfRule type="duplicateValues" dxfId="1350" priority="5198" stopIfTrue="1"/>
    <cfRule type="duplicateValues" dxfId="1349" priority="5199"/>
  </conditionalFormatting>
  <conditionalFormatting sqref="C8">
    <cfRule type="duplicateValues" dxfId="1348" priority="5197"/>
  </conditionalFormatting>
  <conditionalFormatting sqref="C8">
    <cfRule type="duplicateValues" dxfId="1347" priority="5195" stopIfTrue="1"/>
    <cfRule type="duplicateValues" dxfId="1346" priority="5196"/>
  </conditionalFormatting>
  <conditionalFormatting sqref="C8">
    <cfRule type="duplicateValues" dxfId="1345" priority="5194"/>
  </conditionalFormatting>
  <conditionalFormatting sqref="C8">
    <cfRule type="duplicateValues" dxfId="1344" priority="5193"/>
  </conditionalFormatting>
  <conditionalFormatting sqref="C8">
    <cfRule type="duplicateValues" dxfId="1343" priority="5192"/>
  </conditionalFormatting>
  <conditionalFormatting sqref="C8">
    <cfRule type="duplicateValues" dxfId="1342" priority="5191"/>
  </conditionalFormatting>
  <conditionalFormatting sqref="C8">
    <cfRule type="duplicateValues" dxfId="1341" priority="5190"/>
  </conditionalFormatting>
  <conditionalFormatting sqref="C8">
    <cfRule type="duplicateValues" dxfId="1340" priority="5189"/>
  </conditionalFormatting>
  <conditionalFormatting sqref="C8">
    <cfRule type="duplicateValues" dxfId="1339" priority="5187" stopIfTrue="1"/>
    <cfRule type="duplicateValues" dxfId="1338" priority="5188"/>
  </conditionalFormatting>
  <conditionalFormatting sqref="C8">
    <cfRule type="duplicateValues" dxfId="1337" priority="5186"/>
  </conditionalFormatting>
  <conditionalFormatting sqref="C8">
    <cfRule type="duplicateValues" dxfId="1336" priority="5184" stopIfTrue="1"/>
    <cfRule type="duplicateValues" dxfId="1335" priority="5185"/>
  </conditionalFormatting>
  <conditionalFormatting sqref="C8">
    <cfRule type="duplicateValues" dxfId="1334" priority="5183"/>
  </conditionalFormatting>
  <conditionalFormatting sqref="C8">
    <cfRule type="duplicateValues" dxfId="1333" priority="5181" stopIfTrue="1"/>
    <cfRule type="duplicateValues" dxfId="1332" priority="5182"/>
  </conditionalFormatting>
  <conditionalFormatting sqref="C8">
    <cfRule type="duplicateValues" dxfId="1331" priority="5180"/>
  </conditionalFormatting>
  <conditionalFormatting sqref="C8">
    <cfRule type="duplicateValues" dxfId="1330" priority="5178" stopIfTrue="1"/>
    <cfRule type="duplicateValues" dxfId="1329" priority="5179"/>
  </conditionalFormatting>
  <conditionalFormatting sqref="C8">
    <cfRule type="duplicateValues" dxfId="1328" priority="5177"/>
  </conditionalFormatting>
  <conditionalFormatting sqref="C8">
    <cfRule type="duplicateValues" dxfId="1327" priority="5175" stopIfTrue="1"/>
    <cfRule type="duplicateValues" dxfId="1326" priority="5176"/>
  </conditionalFormatting>
  <conditionalFormatting sqref="C8">
    <cfRule type="duplicateValues" dxfId="1325" priority="5174"/>
  </conditionalFormatting>
  <conditionalFormatting sqref="C8">
    <cfRule type="duplicateValues" dxfId="1324" priority="5173"/>
  </conditionalFormatting>
  <conditionalFormatting sqref="C8">
    <cfRule type="duplicateValues" dxfId="1323" priority="5172"/>
  </conditionalFormatting>
  <conditionalFormatting sqref="C8">
    <cfRule type="duplicateValues" dxfId="1322" priority="5171"/>
  </conditionalFormatting>
  <conditionalFormatting sqref="C8">
    <cfRule type="duplicateValues" dxfId="1321" priority="5170"/>
  </conditionalFormatting>
  <conditionalFormatting sqref="C8">
    <cfRule type="duplicateValues" dxfId="1320" priority="5169"/>
  </conditionalFormatting>
  <conditionalFormatting sqref="C8">
    <cfRule type="duplicateValues" dxfId="1319" priority="5168"/>
  </conditionalFormatting>
  <conditionalFormatting sqref="C8">
    <cfRule type="duplicateValues" dxfId="1318" priority="5167"/>
  </conditionalFormatting>
  <conditionalFormatting sqref="C8">
    <cfRule type="duplicateValues" dxfId="1317" priority="5166"/>
  </conditionalFormatting>
  <conditionalFormatting sqref="C8">
    <cfRule type="duplicateValues" dxfId="1316" priority="5165"/>
  </conditionalFormatting>
  <conditionalFormatting sqref="C8">
    <cfRule type="duplicateValues" dxfId="1315" priority="5164"/>
  </conditionalFormatting>
  <conditionalFormatting sqref="C8">
    <cfRule type="duplicateValues" dxfId="1314" priority="5163"/>
  </conditionalFormatting>
  <conditionalFormatting sqref="C8">
    <cfRule type="duplicateValues" dxfId="1313" priority="5162"/>
  </conditionalFormatting>
  <conditionalFormatting sqref="C8">
    <cfRule type="duplicateValues" dxfId="1312" priority="5161"/>
  </conditionalFormatting>
  <conditionalFormatting sqref="C8">
    <cfRule type="duplicateValues" dxfId="1311" priority="5160"/>
  </conditionalFormatting>
  <conditionalFormatting sqref="C8">
    <cfRule type="duplicateValues" dxfId="1310" priority="5159"/>
  </conditionalFormatting>
  <conditionalFormatting sqref="C8">
    <cfRule type="duplicateValues" dxfId="1309" priority="5158"/>
  </conditionalFormatting>
  <conditionalFormatting sqref="C8">
    <cfRule type="duplicateValues" dxfId="1308" priority="5157"/>
  </conditionalFormatting>
  <conditionalFormatting sqref="C8">
    <cfRule type="duplicateValues" dxfId="1307" priority="5156"/>
  </conditionalFormatting>
  <conditionalFormatting sqref="C8">
    <cfRule type="duplicateValues" dxfId="1306" priority="5155"/>
  </conditionalFormatting>
  <conditionalFormatting sqref="C8">
    <cfRule type="duplicateValues" dxfId="1305" priority="5154"/>
  </conditionalFormatting>
  <conditionalFormatting sqref="C8">
    <cfRule type="duplicateValues" dxfId="1304" priority="5153"/>
  </conditionalFormatting>
  <conditionalFormatting sqref="C8">
    <cfRule type="duplicateValues" dxfId="1303" priority="5152"/>
  </conditionalFormatting>
  <conditionalFormatting sqref="C8">
    <cfRule type="duplicateValues" dxfId="1302" priority="5151"/>
  </conditionalFormatting>
  <conditionalFormatting sqref="C8">
    <cfRule type="duplicateValues" dxfId="1301" priority="5150"/>
  </conditionalFormatting>
  <conditionalFormatting sqref="C8">
    <cfRule type="duplicateValues" dxfId="1300" priority="5149"/>
  </conditionalFormatting>
  <conditionalFormatting sqref="C8">
    <cfRule type="duplicateValues" dxfId="1299" priority="5148"/>
  </conditionalFormatting>
  <conditionalFormatting sqref="C8">
    <cfRule type="duplicateValues" dxfId="1298" priority="5147"/>
  </conditionalFormatting>
  <conditionalFormatting sqref="C8">
    <cfRule type="duplicateValues" dxfId="1297" priority="5146"/>
  </conditionalFormatting>
  <conditionalFormatting sqref="C8">
    <cfRule type="duplicateValues" dxfId="1296" priority="5145"/>
  </conditionalFormatting>
  <conditionalFormatting sqref="C8">
    <cfRule type="duplicateValues" dxfId="1295" priority="5144"/>
  </conditionalFormatting>
  <conditionalFormatting sqref="C8">
    <cfRule type="duplicateValues" dxfId="1294" priority="5143"/>
  </conditionalFormatting>
  <conditionalFormatting sqref="C8">
    <cfRule type="duplicateValues" dxfId="1293" priority="5142"/>
  </conditionalFormatting>
  <conditionalFormatting sqref="C8">
    <cfRule type="duplicateValues" dxfId="1292" priority="5141"/>
  </conditionalFormatting>
  <conditionalFormatting sqref="C8">
    <cfRule type="duplicateValues" dxfId="1291" priority="5140"/>
  </conditionalFormatting>
  <conditionalFormatting sqref="C8">
    <cfRule type="duplicateValues" dxfId="1290" priority="5139"/>
  </conditionalFormatting>
  <conditionalFormatting sqref="C8">
    <cfRule type="duplicateValues" dxfId="1289" priority="5138"/>
  </conditionalFormatting>
  <conditionalFormatting sqref="C8">
    <cfRule type="duplicateValues" dxfId="1288" priority="5137"/>
  </conditionalFormatting>
  <conditionalFormatting sqref="C8">
    <cfRule type="duplicateValues" dxfId="1287" priority="5136"/>
  </conditionalFormatting>
  <conditionalFormatting sqref="C8">
    <cfRule type="duplicateValues" dxfId="1286" priority="5135"/>
  </conditionalFormatting>
  <conditionalFormatting sqref="C8">
    <cfRule type="duplicateValues" dxfId="1285" priority="5133" stopIfTrue="1"/>
    <cfRule type="duplicateValues" dxfId="1284" priority="5134"/>
  </conditionalFormatting>
  <conditionalFormatting sqref="C8">
    <cfRule type="duplicateValues" dxfId="1283" priority="5132"/>
  </conditionalFormatting>
  <conditionalFormatting sqref="C8">
    <cfRule type="duplicateValues" dxfId="1282" priority="5131"/>
  </conditionalFormatting>
  <conditionalFormatting sqref="C8">
    <cfRule type="duplicateValues" dxfId="1281" priority="5130"/>
  </conditionalFormatting>
  <conditionalFormatting sqref="C8">
    <cfRule type="duplicateValues" dxfId="1280" priority="5129"/>
  </conditionalFormatting>
  <conditionalFormatting sqref="C8">
    <cfRule type="duplicateValues" dxfId="1279" priority="5127" stopIfTrue="1"/>
    <cfRule type="duplicateValues" dxfId="1278" priority="5128"/>
  </conditionalFormatting>
  <conditionalFormatting sqref="C8">
    <cfRule type="duplicateValues" dxfId="1277" priority="5126"/>
  </conditionalFormatting>
  <conditionalFormatting sqref="C8">
    <cfRule type="duplicateValues" dxfId="1276" priority="5124" stopIfTrue="1"/>
    <cfRule type="duplicateValues" dxfId="1275" priority="5125"/>
  </conditionalFormatting>
  <conditionalFormatting sqref="C8">
    <cfRule type="duplicateValues" dxfId="1274" priority="5123"/>
  </conditionalFormatting>
  <conditionalFormatting sqref="C8">
    <cfRule type="duplicateValues" dxfId="1273" priority="5121" stopIfTrue="1"/>
    <cfRule type="duplicateValues" dxfId="1272" priority="5122"/>
  </conditionalFormatting>
  <conditionalFormatting sqref="C8">
    <cfRule type="duplicateValues" dxfId="1271" priority="5120"/>
  </conditionalFormatting>
  <conditionalFormatting sqref="C8">
    <cfRule type="duplicateValues" dxfId="1270" priority="5118" stopIfTrue="1"/>
    <cfRule type="duplicateValues" dxfId="1269" priority="5119"/>
  </conditionalFormatting>
  <conditionalFormatting sqref="C8">
    <cfRule type="duplicateValues" dxfId="1268" priority="5117"/>
  </conditionalFormatting>
  <conditionalFormatting sqref="C8">
    <cfRule type="duplicateValues" dxfId="1267" priority="5115" stopIfTrue="1"/>
    <cfRule type="duplicateValues" dxfId="1266" priority="5116"/>
  </conditionalFormatting>
  <conditionalFormatting sqref="C8">
    <cfRule type="duplicateValues" dxfId="1265" priority="5114"/>
  </conditionalFormatting>
  <conditionalFormatting sqref="C8">
    <cfRule type="duplicateValues" dxfId="1264" priority="5113"/>
  </conditionalFormatting>
  <conditionalFormatting sqref="C8">
    <cfRule type="duplicateValues" dxfId="1263" priority="5112"/>
  </conditionalFormatting>
  <conditionalFormatting sqref="C8">
    <cfRule type="duplicateValues" dxfId="1262" priority="5111"/>
  </conditionalFormatting>
  <conditionalFormatting sqref="C8">
    <cfRule type="duplicateValues" dxfId="1261" priority="5110"/>
  </conditionalFormatting>
  <conditionalFormatting sqref="C8">
    <cfRule type="duplicateValues" dxfId="1260" priority="5109"/>
  </conditionalFormatting>
  <conditionalFormatting sqref="C8">
    <cfRule type="duplicateValues" dxfId="1259" priority="5108"/>
  </conditionalFormatting>
  <conditionalFormatting sqref="C8">
    <cfRule type="duplicateValues" dxfId="1258" priority="5107"/>
  </conditionalFormatting>
  <conditionalFormatting sqref="C8">
    <cfRule type="duplicateValues" dxfId="1257" priority="5106"/>
  </conditionalFormatting>
  <conditionalFormatting sqref="C8">
    <cfRule type="duplicateValues" dxfId="1256" priority="5105"/>
  </conditionalFormatting>
  <conditionalFormatting sqref="C8">
    <cfRule type="duplicateValues" dxfId="1255" priority="5104"/>
  </conditionalFormatting>
  <conditionalFormatting sqref="C8">
    <cfRule type="duplicateValues" dxfId="1254" priority="5103"/>
  </conditionalFormatting>
  <conditionalFormatting sqref="C8">
    <cfRule type="duplicateValues" dxfId="1253" priority="5102"/>
  </conditionalFormatting>
  <conditionalFormatting sqref="C8">
    <cfRule type="duplicateValues" dxfId="1252" priority="5101"/>
  </conditionalFormatting>
  <conditionalFormatting sqref="C8">
    <cfRule type="duplicateValues" dxfId="1251" priority="5100"/>
  </conditionalFormatting>
  <conditionalFormatting sqref="C8">
    <cfRule type="duplicateValues" dxfId="1250" priority="5099"/>
  </conditionalFormatting>
  <conditionalFormatting sqref="C8">
    <cfRule type="duplicateValues" dxfId="1249" priority="5098"/>
  </conditionalFormatting>
  <conditionalFormatting sqref="C8">
    <cfRule type="duplicateValues" dxfId="1248" priority="5097"/>
  </conditionalFormatting>
  <conditionalFormatting sqref="C8">
    <cfRule type="duplicateValues" dxfId="1247" priority="5096"/>
  </conditionalFormatting>
  <conditionalFormatting sqref="C8">
    <cfRule type="duplicateValues" dxfId="1246" priority="5095"/>
  </conditionalFormatting>
  <conditionalFormatting sqref="C8">
    <cfRule type="duplicateValues" dxfId="1245" priority="5094"/>
  </conditionalFormatting>
  <conditionalFormatting sqref="C8">
    <cfRule type="duplicateValues" dxfId="1244" priority="5093"/>
  </conditionalFormatting>
  <conditionalFormatting sqref="C8">
    <cfRule type="duplicateValues" dxfId="1243" priority="5092"/>
  </conditionalFormatting>
  <conditionalFormatting sqref="C8">
    <cfRule type="duplicateValues" dxfId="1242" priority="5091"/>
  </conditionalFormatting>
  <conditionalFormatting sqref="C8">
    <cfRule type="duplicateValues" dxfId="1241" priority="5090"/>
  </conditionalFormatting>
  <conditionalFormatting sqref="C8">
    <cfRule type="duplicateValues" dxfId="1240" priority="5089"/>
  </conditionalFormatting>
  <conditionalFormatting sqref="C8">
    <cfRule type="duplicateValues" dxfId="1239" priority="5088"/>
  </conditionalFormatting>
  <conditionalFormatting sqref="C8">
    <cfRule type="duplicateValues" dxfId="1238" priority="5087"/>
  </conditionalFormatting>
  <conditionalFormatting sqref="C8">
    <cfRule type="duplicateValues" dxfId="1237" priority="5086"/>
  </conditionalFormatting>
  <conditionalFormatting sqref="C8">
    <cfRule type="duplicateValues" dxfId="1236" priority="5085"/>
  </conditionalFormatting>
  <conditionalFormatting sqref="C8">
    <cfRule type="duplicateValues" dxfId="1235" priority="5084"/>
  </conditionalFormatting>
  <conditionalFormatting sqref="C8">
    <cfRule type="duplicateValues" dxfId="1234" priority="5083"/>
  </conditionalFormatting>
  <conditionalFormatting sqref="C8">
    <cfRule type="duplicateValues" dxfId="1233" priority="5082"/>
  </conditionalFormatting>
  <conditionalFormatting sqref="C8">
    <cfRule type="duplicateValues" dxfId="1232" priority="5081"/>
  </conditionalFormatting>
  <conditionalFormatting sqref="C8">
    <cfRule type="duplicateValues" dxfId="1231" priority="5080"/>
  </conditionalFormatting>
  <conditionalFormatting sqref="C8">
    <cfRule type="duplicateValues" dxfId="1230" priority="5079"/>
  </conditionalFormatting>
  <conditionalFormatting sqref="C8">
    <cfRule type="duplicateValues" dxfId="1229" priority="5078"/>
  </conditionalFormatting>
  <conditionalFormatting sqref="C8">
    <cfRule type="duplicateValues" dxfId="1228" priority="5077"/>
  </conditionalFormatting>
  <conditionalFormatting sqref="C8">
    <cfRule type="duplicateValues" dxfId="1227" priority="5076"/>
  </conditionalFormatting>
  <conditionalFormatting sqref="C8">
    <cfRule type="duplicateValues" dxfId="1226" priority="5075"/>
  </conditionalFormatting>
  <conditionalFormatting sqref="C8">
    <cfRule type="duplicateValues" dxfId="1225" priority="5073" stopIfTrue="1"/>
    <cfRule type="duplicateValues" dxfId="1224" priority="5074"/>
  </conditionalFormatting>
  <conditionalFormatting sqref="C8">
    <cfRule type="duplicateValues" dxfId="1223" priority="5072"/>
  </conditionalFormatting>
  <conditionalFormatting sqref="C8">
    <cfRule type="duplicateValues" dxfId="1222" priority="5071"/>
  </conditionalFormatting>
  <conditionalFormatting sqref="C8">
    <cfRule type="duplicateValues" dxfId="1221" priority="5070"/>
  </conditionalFormatting>
  <conditionalFormatting sqref="C8">
    <cfRule type="duplicateValues" dxfId="1220" priority="5069"/>
  </conditionalFormatting>
  <conditionalFormatting sqref="C8">
    <cfRule type="duplicateValues" dxfId="1219" priority="5067" stopIfTrue="1"/>
    <cfRule type="duplicateValues" dxfId="1218" priority="5068"/>
  </conditionalFormatting>
  <conditionalFormatting sqref="C8">
    <cfRule type="duplicateValues" dxfId="1217" priority="5066"/>
  </conditionalFormatting>
  <conditionalFormatting sqref="C8">
    <cfRule type="duplicateValues" dxfId="1216" priority="5064" stopIfTrue="1"/>
    <cfRule type="duplicateValues" dxfId="1215" priority="5065"/>
  </conditionalFormatting>
  <conditionalFormatting sqref="C8">
    <cfRule type="duplicateValues" dxfId="1214" priority="5063"/>
  </conditionalFormatting>
  <conditionalFormatting sqref="C8">
    <cfRule type="duplicateValues" dxfId="1213" priority="5062"/>
  </conditionalFormatting>
  <conditionalFormatting sqref="C8">
    <cfRule type="duplicateValues" dxfId="1212" priority="5061"/>
  </conditionalFormatting>
  <conditionalFormatting sqref="C8">
    <cfRule type="duplicateValues" dxfId="1211" priority="5060"/>
  </conditionalFormatting>
  <conditionalFormatting sqref="C8">
    <cfRule type="duplicateValues" dxfId="1210" priority="5059"/>
  </conditionalFormatting>
  <conditionalFormatting sqref="C8">
    <cfRule type="duplicateValues" dxfId="1209" priority="5057" stopIfTrue="1"/>
    <cfRule type="duplicateValues" dxfId="1208" priority="5058"/>
  </conditionalFormatting>
  <conditionalFormatting sqref="C8">
    <cfRule type="duplicateValues" dxfId="1207" priority="5056"/>
  </conditionalFormatting>
  <conditionalFormatting sqref="C8">
    <cfRule type="duplicateValues" dxfId="1206" priority="5054" stopIfTrue="1"/>
    <cfRule type="duplicateValues" dxfId="1205" priority="5055"/>
  </conditionalFormatting>
  <conditionalFormatting sqref="C8">
    <cfRule type="duplicateValues" dxfId="1204" priority="5053"/>
  </conditionalFormatting>
  <conditionalFormatting sqref="C8">
    <cfRule type="duplicateValues" dxfId="1203" priority="5051" stopIfTrue="1"/>
    <cfRule type="duplicateValues" dxfId="1202" priority="5052"/>
  </conditionalFormatting>
  <conditionalFormatting sqref="C8">
    <cfRule type="duplicateValues" dxfId="1201" priority="5050"/>
  </conditionalFormatting>
  <conditionalFormatting sqref="C8">
    <cfRule type="duplicateValues" dxfId="1200" priority="5048" stopIfTrue="1"/>
    <cfRule type="duplicateValues" dxfId="1199" priority="5049"/>
  </conditionalFormatting>
  <conditionalFormatting sqref="C8">
    <cfRule type="duplicateValues" dxfId="1198" priority="5047"/>
  </conditionalFormatting>
  <conditionalFormatting sqref="C8">
    <cfRule type="duplicateValues" dxfId="1197" priority="5045" stopIfTrue="1"/>
    <cfRule type="duplicateValues" dxfId="1196" priority="5046"/>
  </conditionalFormatting>
  <conditionalFormatting sqref="C8">
    <cfRule type="duplicateValues" dxfId="1195" priority="5044"/>
  </conditionalFormatting>
  <conditionalFormatting sqref="C8">
    <cfRule type="duplicateValues" dxfId="1194" priority="5042" stopIfTrue="1"/>
    <cfRule type="duplicateValues" dxfId="1193" priority="5043"/>
  </conditionalFormatting>
  <conditionalFormatting sqref="C8">
    <cfRule type="duplicateValues" dxfId="1192" priority="5041"/>
  </conditionalFormatting>
  <conditionalFormatting sqref="C8">
    <cfRule type="duplicateValues" dxfId="1191" priority="5039" stopIfTrue="1"/>
    <cfRule type="duplicateValues" dxfId="1190" priority="5040"/>
  </conditionalFormatting>
  <conditionalFormatting sqref="C8">
    <cfRule type="duplicateValues" dxfId="1189" priority="5038"/>
  </conditionalFormatting>
  <conditionalFormatting sqref="C8">
    <cfRule type="duplicateValues" dxfId="1188" priority="5037"/>
  </conditionalFormatting>
  <conditionalFormatting sqref="C8">
    <cfRule type="duplicateValues" dxfId="1187" priority="5036"/>
  </conditionalFormatting>
  <conditionalFormatting sqref="C8">
    <cfRule type="duplicateValues" dxfId="1186" priority="5034" stopIfTrue="1"/>
    <cfRule type="duplicateValues" dxfId="1185" priority="5035"/>
  </conditionalFormatting>
  <conditionalFormatting sqref="C8">
    <cfRule type="duplicateValues" dxfId="1184" priority="5033"/>
  </conditionalFormatting>
  <conditionalFormatting sqref="C8">
    <cfRule type="duplicateValues" dxfId="1183" priority="5031" stopIfTrue="1"/>
    <cfRule type="duplicateValues" dxfId="1182" priority="5032"/>
  </conditionalFormatting>
  <conditionalFormatting sqref="C8">
    <cfRule type="duplicateValues" dxfId="1181" priority="5030"/>
  </conditionalFormatting>
  <conditionalFormatting sqref="C8">
    <cfRule type="duplicateValues" dxfId="1180" priority="5028" stopIfTrue="1"/>
    <cfRule type="duplicateValues" dxfId="1179" priority="5029"/>
  </conditionalFormatting>
  <conditionalFormatting sqref="C8">
    <cfRule type="duplicateValues" dxfId="1178" priority="5027"/>
  </conditionalFormatting>
  <conditionalFormatting sqref="C8">
    <cfRule type="duplicateValues" dxfId="1177" priority="5025" stopIfTrue="1"/>
    <cfRule type="duplicateValues" dxfId="1176" priority="5026"/>
  </conditionalFormatting>
  <conditionalFormatting sqref="C8">
    <cfRule type="duplicateValues" dxfId="1175" priority="5024"/>
  </conditionalFormatting>
  <conditionalFormatting sqref="C8">
    <cfRule type="duplicateValues" dxfId="1174" priority="5022" stopIfTrue="1"/>
    <cfRule type="duplicateValues" dxfId="1173" priority="5023"/>
  </conditionalFormatting>
  <conditionalFormatting sqref="C8">
    <cfRule type="duplicateValues" dxfId="1172" priority="5021"/>
  </conditionalFormatting>
  <conditionalFormatting sqref="C8">
    <cfRule type="duplicateValues" dxfId="1171" priority="5020"/>
  </conditionalFormatting>
  <conditionalFormatting sqref="C8">
    <cfRule type="duplicateValues" dxfId="1170" priority="5019"/>
  </conditionalFormatting>
  <conditionalFormatting sqref="C8">
    <cfRule type="duplicateValues" dxfId="1169" priority="5018"/>
  </conditionalFormatting>
  <conditionalFormatting sqref="C8">
    <cfRule type="duplicateValues" dxfId="1168" priority="5017"/>
  </conditionalFormatting>
  <conditionalFormatting sqref="C8">
    <cfRule type="duplicateValues" dxfId="1167" priority="5016"/>
  </conditionalFormatting>
  <conditionalFormatting sqref="C8">
    <cfRule type="duplicateValues" dxfId="1166" priority="5014" stopIfTrue="1"/>
    <cfRule type="duplicateValues" dxfId="1165" priority="5015"/>
  </conditionalFormatting>
  <conditionalFormatting sqref="C8">
    <cfRule type="duplicateValues" dxfId="1164" priority="5013"/>
  </conditionalFormatting>
  <conditionalFormatting sqref="C8">
    <cfRule type="duplicateValues" dxfId="1163" priority="5011" stopIfTrue="1"/>
    <cfRule type="duplicateValues" dxfId="1162" priority="5012"/>
  </conditionalFormatting>
  <conditionalFormatting sqref="C8">
    <cfRule type="duplicateValues" dxfId="1161" priority="5010"/>
  </conditionalFormatting>
  <conditionalFormatting sqref="C8">
    <cfRule type="duplicateValues" dxfId="1160" priority="5008" stopIfTrue="1"/>
    <cfRule type="duplicateValues" dxfId="1159" priority="5009"/>
  </conditionalFormatting>
  <conditionalFormatting sqref="C8">
    <cfRule type="duplicateValues" dxfId="1158" priority="5007"/>
  </conditionalFormatting>
  <conditionalFormatting sqref="C8">
    <cfRule type="duplicateValues" dxfId="1157" priority="5005" stopIfTrue="1"/>
    <cfRule type="duplicateValues" dxfId="1156" priority="5006"/>
  </conditionalFormatting>
  <conditionalFormatting sqref="C8">
    <cfRule type="duplicateValues" dxfId="1155" priority="5004"/>
  </conditionalFormatting>
  <conditionalFormatting sqref="C8">
    <cfRule type="duplicateValues" dxfId="1154" priority="5002" stopIfTrue="1"/>
    <cfRule type="duplicateValues" dxfId="1153" priority="5003"/>
  </conditionalFormatting>
  <conditionalFormatting sqref="C8">
    <cfRule type="duplicateValues" dxfId="1152" priority="5001"/>
  </conditionalFormatting>
  <conditionalFormatting sqref="C8">
    <cfRule type="duplicateValues" dxfId="1151" priority="5000"/>
  </conditionalFormatting>
  <conditionalFormatting sqref="C8">
    <cfRule type="duplicateValues" dxfId="1150" priority="4999"/>
  </conditionalFormatting>
  <conditionalFormatting sqref="C8">
    <cfRule type="duplicateValues" dxfId="1149" priority="4998"/>
  </conditionalFormatting>
  <conditionalFormatting sqref="C8">
    <cfRule type="duplicateValues" dxfId="1148" priority="4997"/>
  </conditionalFormatting>
  <conditionalFormatting sqref="C8">
    <cfRule type="duplicateValues" dxfId="1147" priority="4996"/>
  </conditionalFormatting>
  <conditionalFormatting sqref="C8">
    <cfRule type="duplicateValues" dxfId="1146" priority="4994" stopIfTrue="1"/>
    <cfRule type="duplicateValues" dxfId="1145" priority="4995"/>
  </conditionalFormatting>
  <conditionalFormatting sqref="C8">
    <cfRule type="duplicateValues" dxfId="1144" priority="4993"/>
  </conditionalFormatting>
  <conditionalFormatting sqref="C8">
    <cfRule type="duplicateValues" dxfId="1143" priority="4991" stopIfTrue="1"/>
    <cfRule type="duplicateValues" dxfId="1142" priority="4992"/>
  </conditionalFormatting>
  <conditionalFormatting sqref="C8">
    <cfRule type="duplicateValues" dxfId="1141" priority="4990"/>
  </conditionalFormatting>
  <conditionalFormatting sqref="C8">
    <cfRule type="duplicateValues" dxfId="1140" priority="4988" stopIfTrue="1"/>
    <cfRule type="duplicateValues" dxfId="1139" priority="4989"/>
  </conditionalFormatting>
  <conditionalFormatting sqref="C8">
    <cfRule type="duplicateValues" dxfId="1138" priority="4987"/>
  </conditionalFormatting>
  <conditionalFormatting sqref="C8">
    <cfRule type="duplicateValues" dxfId="1137" priority="4985" stopIfTrue="1"/>
    <cfRule type="duplicateValues" dxfId="1136" priority="4986"/>
  </conditionalFormatting>
  <conditionalFormatting sqref="C8">
    <cfRule type="duplicateValues" dxfId="1135" priority="4984"/>
  </conditionalFormatting>
  <conditionalFormatting sqref="C8">
    <cfRule type="duplicateValues" dxfId="1134" priority="4982" stopIfTrue="1"/>
    <cfRule type="duplicateValues" dxfId="1133" priority="4983"/>
  </conditionalFormatting>
  <conditionalFormatting sqref="C8">
    <cfRule type="duplicateValues" dxfId="1132" priority="4981"/>
  </conditionalFormatting>
  <conditionalFormatting sqref="C8">
    <cfRule type="duplicateValues" dxfId="1131" priority="4980"/>
  </conditionalFormatting>
  <conditionalFormatting sqref="C8">
    <cfRule type="duplicateValues" dxfId="1130" priority="4979"/>
  </conditionalFormatting>
  <conditionalFormatting sqref="C8">
    <cfRule type="duplicateValues" dxfId="1129" priority="4978"/>
  </conditionalFormatting>
  <conditionalFormatting sqref="C8">
    <cfRule type="duplicateValues" dxfId="1128" priority="4977"/>
  </conditionalFormatting>
  <conditionalFormatting sqref="C8">
    <cfRule type="duplicateValues" dxfId="1127" priority="4976"/>
  </conditionalFormatting>
  <conditionalFormatting sqref="C8">
    <cfRule type="duplicateValues" dxfId="1126" priority="4975"/>
  </conditionalFormatting>
  <conditionalFormatting sqref="C8">
    <cfRule type="duplicateValues" dxfId="1125" priority="4974"/>
  </conditionalFormatting>
  <conditionalFormatting sqref="C8">
    <cfRule type="duplicateValues" dxfId="1124" priority="4973"/>
  </conditionalFormatting>
  <conditionalFormatting sqref="C8">
    <cfRule type="duplicateValues" dxfId="1123" priority="4972"/>
  </conditionalFormatting>
  <conditionalFormatting sqref="C8">
    <cfRule type="duplicateValues" dxfId="1122" priority="4971"/>
  </conditionalFormatting>
  <conditionalFormatting sqref="C8">
    <cfRule type="duplicateValues" dxfId="1121" priority="4970"/>
  </conditionalFormatting>
  <conditionalFormatting sqref="C8">
    <cfRule type="duplicateValues" dxfId="1120" priority="4969"/>
  </conditionalFormatting>
  <conditionalFormatting sqref="C8">
    <cfRule type="duplicateValues" dxfId="1119" priority="4968"/>
  </conditionalFormatting>
  <conditionalFormatting sqref="C8">
    <cfRule type="duplicateValues" dxfId="1118" priority="4967"/>
  </conditionalFormatting>
  <conditionalFormatting sqref="C8">
    <cfRule type="duplicateValues" dxfId="1117" priority="4966"/>
  </conditionalFormatting>
  <conditionalFormatting sqref="C8">
    <cfRule type="duplicateValues" dxfId="1116" priority="4965"/>
  </conditionalFormatting>
  <conditionalFormatting sqref="C8">
    <cfRule type="duplicateValues" dxfId="1115" priority="4964"/>
  </conditionalFormatting>
  <conditionalFormatting sqref="C8">
    <cfRule type="duplicateValues" dxfId="1114" priority="4963"/>
  </conditionalFormatting>
  <conditionalFormatting sqref="C8">
    <cfRule type="duplicateValues" dxfId="1113" priority="4962"/>
  </conditionalFormatting>
  <conditionalFormatting sqref="C8">
    <cfRule type="duplicateValues" dxfId="1112" priority="4961"/>
  </conditionalFormatting>
  <conditionalFormatting sqref="C8">
    <cfRule type="duplicateValues" dxfId="1111" priority="4960"/>
  </conditionalFormatting>
  <conditionalFormatting sqref="C8">
    <cfRule type="duplicateValues" dxfId="1110" priority="4959"/>
  </conditionalFormatting>
  <conditionalFormatting sqref="C8">
    <cfRule type="duplicateValues" dxfId="1109" priority="4958"/>
  </conditionalFormatting>
  <conditionalFormatting sqref="C8">
    <cfRule type="duplicateValues" dxfId="1108" priority="4957"/>
  </conditionalFormatting>
  <conditionalFormatting sqref="C8">
    <cfRule type="duplicateValues" dxfId="1107" priority="4956"/>
  </conditionalFormatting>
  <conditionalFormatting sqref="C8">
    <cfRule type="duplicateValues" dxfId="1106" priority="4955"/>
  </conditionalFormatting>
  <conditionalFormatting sqref="C8">
    <cfRule type="duplicateValues" dxfId="1105" priority="4954"/>
  </conditionalFormatting>
  <conditionalFormatting sqref="C8">
    <cfRule type="duplicateValues" dxfId="1104" priority="4953"/>
  </conditionalFormatting>
  <conditionalFormatting sqref="C8">
    <cfRule type="duplicateValues" dxfId="1103" priority="4952"/>
  </conditionalFormatting>
  <conditionalFormatting sqref="C8">
    <cfRule type="duplicateValues" dxfId="1102" priority="4951"/>
  </conditionalFormatting>
  <conditionalFormatting sqref="C8">
    <cfRule type="duplicateValues" dxfId="1101" priority="4950"/>
  </conditionalFormatting>
  <conditionalFormatting sqref="C8">
    <cfRule type="duplicateValues" dxfId="1100" priority="4949"/>
  </conditionalFormatting>
  <conditionalFormatting sqref="C8">
    <cfRule type="duplicateValues" dxfId="1099" priority="4948"/>
  </conditionalFormatting>
  <conditionalFormatting sqref="C8">
    <cfRule type="duplicateValues" dxfId="1098" priority="4947"/>
  </conditionalFormatting>
  <conditionalFormatting sqref="C8">
    <cfRule type="duplicateValues" dxfId="1097" priority="4946"/>
  </conditionalFormatting>
  <conditionalFormatting sqref="C8">
    <cfRule type="duplicateValues" dxfId="1096" priority="4945"/>
  </conditionalFormatting>
  <conditionalFormatting sqref="C8">
    <cfRule type="duplicateValues" dxfId="1095" priority="4944"/>
  </conditionalFormatting>
  <conditionalFormatting sqref="C8">
    <cfRule type="duplicateValues" dxfId="1094" priority="4943"/>
  </conditionalFormatting>
  <conditionalFormatting sqref="C8">
    <cfRule type="duplicateValues" dxfId="1093" priority="4942"/>
  </conditionalFormatting>
  <conditionalFormatting sqref="C8">
    <cfRule type="duplicateValues" dxfId="1092" priority="4940" stopIfTrue="1"/>
    <cfRule type="duplicateValues" dxfId="1091" priority="4941"/>
  </conditionalFormatting>
  <conditionalFormatting sqref="C8">
    <cfRule type="duplicateValues" dxfId="1090" priority="4939"/>
  </conditionalFormatting>
  <conditionalFormatting sqref="C8">
    <cfRule type="duplicateValues" dxfId="1089" priority="4938"/>
  </conditionalFormatting>
  <conditionalFormatting sqref="C8">
    <cfRule type="duplicateValues" dxfId="1088" priority="4937"/>
  </conditionalFormatting>
  <conditionalFormatting sqref="C8">
    <cfRule type="duplicateValues" dxfId="1087" priority="4936"/>
  </conditionalFormatting>
  <conditionalFormatting sqref="C8">
    <cfRule type="duplicateValues" dxfId="1086" priority="4934" stopIfTrue="1"/>
    <cfRule type="duplicateValues" dxfId="1085" priority="4935"/>
  </conditionalFormatting>
  <conditionalFormatting sqref="C8">
    <cfRule type="duplicateValues" dxfId="1084" priority="4933"/>
  </conditionalFormatting>
  <conditionalFormatting sqref="C8">
    <cfRule type="duplicateValues" dxfId="1083" priority="4931" stopIfTrue="1"/>
    <cfRule type="duplicateValues" dxfId="1082" priority="4932"/>
  </conditionalFormatting>
  <conditionalFormatting sqref="C8">
    <cfRule type="duplicateValues" dxfId="1081" priority="4930"/>
  </conditionalFormatting>
  <conditionalFormatting sqref="C8">
    <cfRule type="duplicateValues" dxfId="1080" priority="4928" stopIfTrue="1"/>
    <cfRule type="duplicateValues" dxfId="1079" priority="4929"/>
  </conditionalFormatting>
  <conditionalFormatting sqref="C8">
    <cfRule type="duplicateValues" dxfId="1078" priority="4927"/>
  </conditionalFormatting>
  <conditionalFormatting sqref="C8">
    <cfRule type="duplicateValues" dxfId="1077" priority="4925" stopIfTrue="1"/>
    <cfRule type="duplicateValues" dxfId="1076" priority="4926"/>
  </conditionalFormatting>
  <conditionalFormatting sqref="C8">
    <cfRule type="duplicateValues" dxfId="1075" priority="4924"/>
  </conditionalFormatting>
  <conditionalFormatting sqref="C8">
    <cfRule type="duplicateValues" dxfId="1074" priority="4922" stopIfTrue="1"/>
    <cfRule type="duplicateValues" dxfId="1073" priority="4923"/>
  </conditionalFormatting>
  <conditionalFormatting sqref="C8">
    <cfRule type="duplicateValues" dxfId="1072" priority="4921"/>
  </conditionalFormatting>
  <conditionalFormatting sqref="C8">
    <cfRule type="duplicateValues" dxfId="1071" priority="4920"/>
  </conditionalFormatting>
  <conditionalFormatting sqref="C8">
    <cfRule type="duplicateValues" dxfId="1070" priority="4919"/>
  </conditionalFormatting>
  <conditionalFormatting sqref="C8">
    <cfRule type="duplicateValues" dxfId="1069" priority="4918"/>
  </conditionalFormatting>
  <conditionalFormatting sqref="C8">
    <cfRule type="duplicateValues" dxfId="1068" priority="4917"/>
  </conditionalFormatting>
  <conditionalFormatting sqref="C8">
    <cfRule type="duplicateValues" dxfId="1067" priority="4916"/>
  </conditionalFormatting>
  <conditionalFormatting sqref="C8">
    <cfRule type="duplicateValues" dxfId="1066" priority="4914" stopIfTrue="1"/>
    <cfRule type="duplicateValues" dxfId="1065" priority="4915"/>
  </conditionalFormatting>
  <conditionalFormatting sqref="C8">
    <cfRule type="duplicateValues" dxfId="1064" priority="4913"/>
  </conditionalFormatting>
  <conditionalFormatting sqref="C8">
    <cfRule type="duplicateValues" dxfId="1063" priority="4911" stopIfTrue="1"/>
    <cfRule type="duplicateValues" dxfId="1062" priority="4912"/>
  </conditionalFormatting>
  <conditionalFormatting sqref="C8">
    <cfRule type="duplicateValues" dxfId="1061" priority="4910"/>
  </conditionalFormatting>
  <conditionalFormatting sqref="C8">
    <cfRule type="duplicateValues" dxfId="1060" priority="4908" stopIfTrue="1"/>
    <cfRule type="duplicateValues" dxfId="1059" priority="4909"/>
  </conditionalFormatting>
  <conditionalFormatting sqref="C8">
    <cfRule type="duplicateValues" dxfId="1058" priority="4907"/>
  </conditionalFormatting>
  <conditionalFormatting sqref="C8">
    <cfRule type="duplicateValues" dxfId="1057" priority="4905" stopIfTrue="1"/>
    <cfRule type="duplicateValues" dxfId="1056" priority="4906"/>
  </conditionalFormatting>
  <conditionalFormatting sqref="C8">
    <cfRule type="duplicateValues" dxfId="1055" priority="4904"/>
  </conditionalFormatting>
  <conditionalFormatting sqref="C8">
    <cfRule type="duplicateValues" dxfId="1054" priority="4902" stopIfTrue="1"/>
    <cfRule type="duplicateValues" dxfId="1053" priority="4903"/>
  </conditionalFormatting>
  <conditionalFormatting sqref="C8">
    <cfRule type="duplicateValues" dxfId="1052" priority="4901"/>
  </conditionalFormatting>
  <conditionalFormatting sqref="C8">
    <cfRule type="duplicateValues" dxfId="1051" priority="4900"/>
  </conditionalFormatting>
  <conditionalFormatting sqref="C8">
    <cfRule type="duplicateValues" dxfId="1050" priority="4899"/>
  </conditionalFormatting>
  <conditionalFormatting sqref="C8">
    <cfRule type="duplicateValues" dxfId="1049" priority="4898"/>
  </conditionalFormatting>
  <conditionalFormatting sqref="C8">
    <cfRule type="duplicateValues" dxfId="1048" priority="4897"/>
  </conditionalFormatting>
  <conditionalFormatting sqref="C8">
    <cfRule type="duplicateValues" dxfId="1047" priority="4896"/>
  </conditionalFormatting>
  <conditionalFormatting sqref="C8">
    <cfRule type="duplicateValues" dxfId="1046" priority="4895"/>
  </conditionalFormatting>
  <conditionalFormatting sqref="C8">
    <cfRule type="duplicateValues" dxfId="1045" priority="4894"/>
  </conditionalFormatting>
  <conditionalFormatting sqref="C8">
    <cfRule type="duplicateValues" dxfId="1044" priority="4893"/>
  </conditionalFormatting>
  <conditionalFormatting sqref="C8">
    <cfRule type="duplicateValues" dxfId="1043" priority="4892"/>
  </conditionalFormatting>
  <conditionalFormatting sqref="C8">
    <cfRule type="duplicateValues" dxfId="1042" priority="4891"/>
  </conditionalFormatting>
  <conditionalFormatting sqref="C8">
    <cfRule type="duplicateValues" dxfId="1041" priority="4890"/>
  </conditionalFormatting>
  <conditionalFormatting sqref="C8">
    <cfRule type="duplicateValues" dxfId="1040" priority="4889"/>
  </conditionalFormatting>
  <conditionalFormatting sqref="C8">
    <cfRule type="duplicateValues" dxfId="1039" priority="4888"/>
  </conditionalFormatting>
  <conditionalFormatting sqref="C8">
    <cfRule type="duplicateValues" dxfId="1038" priority="4887"/>
  </conditionalFormatting>
  <conditionalFormatting sqref="C8">
    <cfRule type="duplicateValues" dxfId="1037" priority="4886"/>
  </conditionalFormatting>
  <conditionalFormatting sqref="C8">
    <cfRule type="duplicateValues" dxfId="1036" priority="4885"/>
  </conditionalFormatting>
  <conditionalFormatting sqref="C8">
    <cfRule type="duplicateValues" dxfId="1035" priority="4884"/>
  </conditionalFormatting>
  <conditionalFormatting sqref="C8">
    <cfRule type="duplicateValues" dxfId="1034" priority="4883"/>
  </conditionalFormatting>
  <conditionalFormatting sqref="C8">
    <cfRule type="duplicateValues" dxfId="1033" priority="4882"/>
  </conditionalFormatting>
  <conditionalFormatting sqref="C8">
    <cfRule type="duplicateValues" dxfId="1032" priority="4881"/>
  </conditionalFormatting>
  <conditionalFormatting sqref="C8">
    <cfRule type="duplicateValues" dxfId="1031" priority="4880"/>
  </conditionalFormatting>
  <conditionalFormatting sqref="C8">
    <cfRule type="duplicateValues" dxfId="1030" priority="4879"/>
  </conditionalFormatting>
  <conditionalFormatting sqref="C8">
    <cfRule type="duplicateValues" dxfId="1029" priority="4878"/>
  </conditionalFormatting>
  <conditionalFormatting sqref="C8">
    <cfRule type="duplicateValues" dxfId="1028" priority="4877"/>
  </conditionalFormatting>
  <conditionalFormatting sqref="C8">
    <cfRule type="duplicateValues" dxfId="1027" priority="4876"/>
  </conditionalFormatting>
  <conditionalFormatting sqref="C8">
    <cfRule type="duplicateValues" dxfId="1026" priority="4875"/>
  </conditionalFormatting>
  <conditionalFormatting sqref="C8">
    <cfRule type="duplicateValues" dxfId="1025" priority="4874"/>
  </conditionalFormatting>
  <conditionalFormatting sqref="C8">
    <cfRule type="duplicateValues" dxfId="1024" priority="4873"/>
  </conditionalFormatting>
  <conditionalFormatting sqref="C8">
    <cfRule type="duplicateValues" dxfId="1023" priority="4872"/>
  </conditionalFormatting>
  <conditionalFormatting sqref="C8">
    <cfRule type="duplicateValues" dxfId="1022" priority="4871"/>
  </conditionalFormatting>
  <conditionalFormatting sqref="C8">
    <cfRule type="duplicateValues" dxfId="1021" priority="4870"/>
  </conditionalFormatting>
  <conditionalFormatting sqref="C8">
    <cfRule type="duplicateValues" dxfId="1020" priority="4869"/>
  </conditionalFormatting>
  <conditionalFormatting sqref="C8">
    <cfRule type="duplicateValues" dxfId="1019" priority="4868"/>
  </conditionalFormatting>
  <conditionalFormatting sqref="C8">
    <cfRule type="duplicateValues" dxfId="1018" priority="4867"/>
  </conditionalFormatting>
  <conditionalFormatting sqref="C8">
    <cfRule type="duplicateValues" dxfId="1017" priority="4866"/>
  </conditionalFormatting>
  <conditionalFormatting sqref="C8">
    <cfRule type="duplicateValues" dxfId="1016" priority="4865"/>
  </conditionalFormatting>
  <conditionalFormatting sqref="C8">
    <cfRule type="duplicateValues" dxfId="1015" priority="4864"/>
  </conditionalFormatting>
  <conditionalFormatting sqref="C8">
    <cfRule type="duplicateValues" dxfId="1014" priority="4863"/>
  </conditionalFormatting>
  <conditionalFormatting sqref="C8">
    <cfRule type="duplicateValues" dxfId="1013" priority="4862"/>
  </conditionalFormatting>
  <conditionalFormatting sqref="C8">
    <cfRule type="duplicateValues" dxfId="1012" priority="4860" stopIfTrue="1"/>
    <cfRule type="duplicateValues" dxfId="1011" priority="4861"/>
  </conditionalFormatting>
  <conditionalFormatting sqref="C8">
    <cfRule type="duplicateValues" dxfId="1010" priority="4859"/>
  </conditionalFormatting>
  <conditionalFormatting sqref="C8">
    <cfRule type="duplicateValues" dxfId="1009" priority="4858"/>
  </conditionalFormatting>
  <conditionalFormatting sqref="C8">
    <cfRule type="duplicateValues" dxfId="1008" priority="4857"/>
  </conditionalFormatting>
  <conditionalFormatting sqref="C8">
    <cfRule type="duplicateValues" dxfId="1007" priority="4856"/>
  </conditionalFormatting>
  <conditionalFormatting sqref="C8">
    <cfRule type="duplicateValues" dxfId="1006" priority="4854" stopIfTrue="1"/>
    <cfRule type="duplicateValues" dxfId="1005" priority="4855"/>
  </conditionalFormatting>
  <conditionalFormatting sqref="C8">
    <cfRule type="duplicateValues" dxfId="1004" priority="4853"/>
  </conditionalFormatting>
  <conditionalFormatting sqref="C8">
    <cfRule type="duplicateValues" dxfId="1003" priority="4851" stopIfTrue="1"/>
    <cfRule type="duplicateValues" dxfId="1002" priority="4852"/>
  </conditionalFormatting>
  <conditionalFormatting sqref="C8">
    <cfRule type="duplicateValues" dxfId="1001" priority="4850"/>
  </conditionalFormatting>
  <conditionalFormatting sqref="C8">
    <cfRule type="duplicateValues" dxfId="1000" priority="4848" stopIfTrue="1"/>
    <cfRule type="duplicateValues" dxfId="999" priority="4849"/>
  </conditionalFormatting>
  <conditionalFormatting sqref="C8">
    <cfRule type="duplicateValues" dxfId="998" priority="4847"/>
  </conditionalFormatting>
  <conditionalFormatting sqref="C8">
    <cfRule type="duplicateValues" dxfId="997" priority="4845" stopIfTrue="1"/>
    <cfRule type="duplicateValues" dxfId="996" priority="4846"/>
  </conditionalFormatting>
  <conditionalFormatting sqref="C8">
    <cfRule type="duplicateValues" dxfId="995" priority="4844"/>
  </conditionalFormatting>
  <conditionalFormatting sqref="C8">
    <cfRule type="duplicateValues" dxfId="994" priority="4842" stopIfTrue="1"/>
    <cfRule type="duplicateValues" dxfId="993" priority="4843"/>
  </conditionalFormatting>
  <conditionalFormatting sqref="C8">
    <cfRule type="duplicateValues" dxfId="992" priority="4841"/>
  </conditionalFormatting>
  <conditionalFormatting sqref="C8">
    <cfRule type="duplicateValues" dxfId="991" priority="4840"/>
  </conditionalFormatting>
  <conditionalFormatting sqref="C8">
    <cfRule type="duplicateValues" dxfId="990" priority="4839"/>
  </conditionalFormatting>
  <conditionalFormatting sqref="C8">
    <cfRule type="duplicateValues" dxfId="989" priority="4838"/>
  </conditionalFormatting>
  <conditionalFormatting sqref="C8">
    <cfRule type="duplicateValues" dxfId="988" priority="4837"/>
  </conditionalFormatting>
  <conditionalFormatting sqref="C8">
    <cfRule type="duplicateValues" dxfId="987" priority="4836"/>
  </conditionalFormatting>
  <conditionalFormatting sqref="C8">
    <cfRule type="duplicateValues" dxfId="986" priority="4835"/>
  </conditionalFormatting>
  <conditionalFormatting sqref="C8">
    <cfRule type="duplicateValues" dxfId="985" priority="4834"/>
  </conditionalFormatting>
  <conditionalFormatting sqref="C8">
    <cfRule type="duplicateValues" dxfId="984" priority="4833"/>
  </conditionalFormatting>
  <conditionalFormatting sqref="C8">
    <cfRule type="duplicateValues" dxfId="983" priority="4832"/>
  </conditionalFormatting>
  <conditionalFormatting sqref="C8">
    <cfRule type="duplicateValues" dxfId="982" priority="4831"/>
  </conditionalFormatting>
  <conditionalFormatting sqref="C8">
    <cfRule type="duplicateValues" dxfId="981" priority="4830"/>
  </conditionalFormatting>
  <conditionalFormatting sqref="C8">
    <cfRule type="duplicateValues" dxfId="980" priority="4829"/>
  </conditionalFormatting>
  <conditionalFormatting sqref="C8">
    <cfRule type="duplicateValues" dxfId="979" priority="4828"/>
  </conditionalFormatting>
  <conditionalFormatting sqref="C8">
    <cfRule type="duplicateValues" dxfId="978" priority="4827"/>
  </conditionalFormatting>
  <conditionalFormatting sqref="C8">
    <cfRule type="duplicateValues" dxfId="977" priority="4826"/>
  </conditionalFormatting>
  <conditionalFormatting sqref="C8">
    <cfRule type="duplicateValues" dxfId="976" priority="4825"/>
  </conditionalFormatting>
  <conditionalFormatting sqref="C8">
    <cfRule type="duplicateValues" dxfId="975" priority="4824"/>
  </conditionalFormatting>
  <conditionalFormatting sqref="C8">
    <cfRule type="duplicateValues" dxfId="974" priority="4823"/>
  </conditionalFormatting>
  <conditionalFormatting sqref="C8">
    <cfRule type="duplicateValues" dxfId="973" priority="4822"/>
  </conditionalFormatting>
  <conditionalFormatting sqref="C8">
    <cfRule type="duplicateValues" dxfId="972" priority="4821"/>
  </conditionalFormatting>
  <conditionalFormatting sqref="C8">
    <cfRule type="duplicateValues" dxfId="971" priority="4820"/>
  </conditionalFormatting>
  <conditionalFormatting sqref="C8">
    <cfRule type="duplicateValues" dxfId="970" priority="4819"/>
  </conditionalFormatting>
  <conditionalFormatting sqref="C8">
    <cfRule type="duplicateValues" dxfId="969" priority="4818"/>
  </conditionalFormatting>
  <conditionalFormatting sqref="C8">
    <cfRule type="duplicateValues" dxfId="968" priority="4817"/>
  </conditionalFormatting>
  <conditionalFormatting sqref="C8">
    <cfRule type="duplicateValues" dxfId="967" priority="4816"/>
  </conditionalFormatting>
  <conditionalFormatting sqref="C8">
    <cfRule type="duplicateValues" dxfId="966" priority="4815"/>
  </conditionalFormatting>
  <conditionalFormatting sqref="C8">
    <cfRule type="duplicateValues" dxfId="965" priority="4814"/>
  </conditionalFormatting>
  <conditionalFormatting sqref="C8">
    <cfRule type="duplicateValues" dxfId="964" priority="4813"/>
  </conditionalFormatting>
  <conditionalFormatting sqref="C8">
    <cfRule type="duplicateValues" dxfId="963" priority="4812"/>
  </conditionalFormatting>
  <conditionalFormatting sqref="C8">
    <cfRule type="duplicateValues" dxfId="962" priority="4811"/>
  </conditionalFormatting>
  <conditionalFormatting sqref="C8">
    <cfRule type="duplicateValues" dxfId="961" priority="4810"/>
  </conditionalFormatting>
  <conditionalFormatting sqref="C8">
    <cfRule type="duplicateValues" dxfId="960" priority="4809"/>
  </conditionalFormatting>
  <conditionalFormatting sqref="C8">
    <cfRule type="duplicateValues" dxfId="959" priority="4808"/>
  </conditionalFormatting>
  <conditionalFormatting sqref="C8">
    <cfRule type="duplicateValues" dxfId="958" priority="4807"/>
  </conditionalFormatting>
  <conditionalFormatting sqref="C8">
    <cfRule type="duplicateValues" dxfId="957" priority="4806"/>
  </conditionalFormatting>
  <conditionalFormatting sqref="C8">
    <cfRule type="duplicateValues" dxfId="956" priority="4805"/>
  </conditionalFormatting>
  <conditionalFormatting sqref="C8">
    <cfRule type="duplicateValues" dxfId="955" priority="4804"/>
  </conditionalFormatting>
  <conditionalFormatting sqref="C8">
    <cfRule type="duplicateValues" dxfId="954" priority="4803"/>
  </conditionalFormatting>
  <conditionalFormatting sqref="C8">
    <cfRule type="duplicateValues" dxfId="953" priority="4802"/>
  </conditionalFormatting>
  <conditionalFormatting sqref="C8">
    <cfRule type="duplicateValues" dxfId="952" priority="4800" stopIfTrue="1"/>
    <cfRule type="duplicateValues" dxfId="951" priority="4801"/>
  </conditionalFormatting>
  <conditionalFormatting sqref="C8">
    <cfRule type="duplicateValues" dxfId="950" priority="4799"/>
  </conditionalFormatting>
  <conditionalFormatting sqref="C8">
    <cfRule type="duplicateValues" dxfId="949" priority="4798"/>
  </conditionalFormatting>
  <conditionalFormatting sqref="C8">
    <cfRule type="duplicateValues" dxfId="948" priority="4797"/>
  </conditionalFormatting>
  <conditionalFormatting sqref="C8">
    <cfRule type="duplicateValues" dxfId="947" priority="4796"/>
  </conditionalFormatting>
  <conditionalFormatting sqref="C8">
    <cfRule type="duplicateValues" dxfId="946" priority="4794" stopIfTrue="1"/>
    <cfRule type="duplicateValues" dxfId="945" priority="4795"/>
  </conditionalFormatting>
  <conditionalFormatting sqref="C8">
    <cfRule type="duplicateValues" dxfId="944" priority="4793"/>
  </conditionalFormatting>
  <conditionalFormatting sqref="C8">
    <cfRule type="duplicateValues" dxfId="943" priority="4792"/>
  </conditionalFormatting>
  <conditionalFormatting sqref="C8">
    <cfRule type="duplicateValues" dxfId="942" priority="4791"/>
  </conditionalFormatting>
  <conditionalFormatting sqref="C8">
    <cfRule type="duplicateValues" dxfId="941" priority="4789" stopIfTrue="1"/>
    <cfRule type="duplicateValues" dxfId="940" priority="4790"/>
  </conditionalFormatting>
  <conditionalFormatting sqref="C8">
    <cfRule type="duplicateValues" dxfId="939" priority="4788"/>
  </conditionalFormatting>
  <conditionalFormatting sqref="C8">
    <cfRule type="duplicateValues" dxfId="938" priority="4786" stopIfTrue="1"/>
    <cfRule type="duplicateValues" dxfId="937" priority="4787"/>
  </conditionalFormatting>
  <conditionalFormatting sqref="C8">
    <cfRule type="duplicateValues" dxfId="936" priority="4785"/>
  </conditionalFormatting>
  <conditionalFormatting sqref="C8">
    <cfRule type="duplicateValues" dxfId="935" priority="4783" stopIfTrue="1"/>
    <cfRule type="duplicateValues" dxfId="934" priority="4784"/>
  </conditionalFormatting>
  <conditionalFormatting sqref="C8">
    <cfRule type="duplicateValues" dxfId="933" priority="4782"/>
  </conditionalFormatting>
  <conditionalFormatting sqref="C8">
    <cfRule type="duplicateValues" dxfId="932" priority="4780" stopIfTrue="1"/>
    <cfRule type="duplicateValues" dxfId="931" priority="4781"/>
  </conditionalFormatting>
  <conditionalFormatting sqref="C8">
    <cfRule type="duplicateValues" dxfId="930" priority="4779"/>
  </conditionalFormatting>
  <conditionalFormatting sqref="C8">
    <cfRule type="duplicateValues" dxfId="929" priority="4777" stopIfTrue="1"/>
    <cfRule type="duplicateValues" dxfId="928" priority="4778"/>
  </conditionalFormatting>
  <conditionalFormatting sqref="C8">
    <cfRule type="duplicateValues" dxfId="927" priority="4776"/>
  </conditionalFormatting>
  <conditionalFormatting sqref="C8">
    <cfRule type="duplicateValues" dxfId="926" priority="4775"/>
  </conditionalFormatting>
  <conditionalFormatting sqref="C8">
    <cfRule type="duplicateValues" dxfId="925" priority="4774"/>
  </conditionalFormatting>
  <conditionalFormatting sqref="C8">
    <cfRule type="duplicateValues" dxfId="924" priority="4773"/>
  </conditionalFormatting>
  <conditionalFormatting sqref="C8">
    <cfRule type="duplicateValues" dxfId="923" priority="4772"/>
  </conditionalFormatting>
  <conditionalFormatting sqref="C8">
    <cfRule type="duplicateValues" dxfId="922" priority="4771"/>
  </conditionalFormatting>
  <conditionalFormatting sqref="C8">
    <cfRule type="duplicateValues" dxfId="921" priority="4769" stopIfTrue="1"/>
    <cfRule type="duplicateValues" dxfId="920" priority="4770"/>
  </conditionalFormatting>
  <conditionalFormatting sqref="C8">
    <cfRule type="duplicateValues" dxfId="919" priority="4768"/>
  </conditionalFormatting>
  <conditionalFormatting sqref="C8">
    <cfRule type="duplicateValues" dxfId="918" priority="4766" stopIfTrue="1"/>
    <cfRule type="duplicateValues" dxfId="917" priority="4767"/>
  </conditionalFormatting>
  <conditionalFormatting sqref="C8">
    <cfRule type="duplicateValues" dxfId="916" priority="4765"/>
  </conditionalFormatting>
  <conditionalFormatting sqref="C8">
    <cfRule type="duplicateValues" dxfId="915" priority="4763" stopIfTrue="1"/>
    <cfRule type="duplicateValues" dxfId="914" priority="4764"/>
  </conditionalFormatting>
  <conditionalFormatting sqref="C8">
    <cfRule type="duplicateValues" dxfId="913" priority="4762"/>
  </conditionalFormatting>
  <conditionalFormatting sqref="C8">
    <cfRule type="duplicateValues" dxfId="912" priority="4760" stopIfTrue="1"/>
    <cfRule type="duplicateValues" dxfId="911" priority="4761"/>
  </conditionalFormatting>
  <conditionalFormatting sqref="C8">
    <cfRule type="duplicateValues" dxfId="910" priority="4759"/>
  </conditionalFormatting>
  <conditionalFormatting sqref="C8">
    <cfRule type="duplicateValues" dxfId="909" priority="4757" stopIfTrue="1"/>
    <cfRule type="duplicateValues" dxfId="908" priority="4758"/>
  </conditionalFormatting>
  <conditionalFormatting sqref="C8">
    <cfRule type="duplicateValues" dxfId="907" priority="4756"/>
  </conditionalFormatting>
  <conditionalFormatting sqref="C8">
    <cfRule type="duplicateValues" dxfId="906" priority="4755"/>
  </conditionalFormatting>
  <conditionalFormatting sqref="C8">
    <cfRule type="duplicateValues" dxfId="905" priority="4754"/>
  </conditionalFormatting>
  <conditionalFormatting sqref="C8">
    <cfRule type="duplicateValues" dxfId="904" priority="4753"/>
  </conditionalFormatting>
  <conditionalFormatting sqref="C8">
    <cfRule type="duplicateValues" dxfId="903" priority="4752"/>
  </conditionalFormatting>
  <conditionalFormatting sqref="C8">
    <cfRule type="duplicateValues" dxfId="902" priority="4751"/>
  </conditionalFormatting>
  <conditionalFormatting sqref="C8">
    <cfRule type="duplicateValues" dxfId="901" priority="4750"/>
  </conditionalFormatting>
  <conditionalFormatting sqref="C8">
    <cfRule type="duplicateValues" dxfId="900" priority="4749"/>
  </conditionalFormatting>
  <conditionalFormatting sqref="C8">
    <cfRule type="duplicateValues" dxfId="899" priority="4748"/>
  </conditionalFormatting>
  <conditionalFormatting sqref="C8">
    <cfRule type="duplicateValues" dxfId="898" priority="4747"/>
  </conditionalFormatting>
  <conditionalFormatting sqref="C8">
    <cfRule type="duplicateValues" dxfId="897" priority="4746"/>
  </conditionalFormatting>
  <conditionalFormatting sqref="C8">
    <cfRule type="duplicateValues" dxfId="896" priority="4745"/>
  </conditionalFormatting>
  <conditionalFormatting sqref="C8">
    <cfRule type="duplicateValues" dxfId="895" priority="4744"/>
  </conditionalFormatting>
  <conditionalFormatting sqref="C8">
    <cfRule type="duplicateValues" dxfId="894" priority="4743"/>
  </conditionalFormatting>
  <conditionalFormatting sqref="C8">
    <cfRule type="duplicateValues" dxfId="893" priority="4742"/>
  </conditionalFormatting>
  <conditionalFormatting sqref="C8">
    <cfRule type="duplicateValues" dxfId="892" priority="4741"/>
  </conditionalFormatting>
  <conditionalFormatting sqref="C8">
    <cfRule type="duplicateValues" dxfId="891" priority="4740"/>
  </conditionalFormatting>
  <conditionalFormatting sqref="C8">
    <cfRule type="duplicateValues" dxfId="890" priority="4739"/>
  </conditionalFormatting>
  <conditionalFormatting sqref="C8">
    <cfRule type="duplicateValues" dxfId="889" priority="4738"/>
  </conditionalFormatting>
  <conditionalFormatting sqref="C8">
    <cfRule type="duplicateValues" dxfId="888" priority="4737"/>
  </conditionalFormatting>
  <conditionalFormatting sqref="C8">
    <cfRule type="duplicateValues" dxfId="887" priority="4736"/>
  </conditionalFormatting>
  <conditionalFormatting sqref="C8">
    <cfRule type="duplicateValues" dxfId="886" priority="4735"/>
  </conditionalFormatting>
  <conditionalFormatting sqref="C8">
    <cfRule type="duplicateValues" dxfId="885" priority="4734"/>
  </conditionalFormatting>
  <conditionalFormatting sqref="C8">
    <cfRule type="duplicateValues" dxfId="884" priority="4733"/>
  </conditionalFormatting>
  <conditionalFormatting sqref="C8">
    <cfRule type="duplicateValues" dxfId="883" priority="4732"/>
  </conditionalFormatting>
  <conditionalFormatting sqref="C8">
    <cfRule type="duplicateValues" dxfId="882" priority="4731"/>
  </conditionalFormatting>
  <conditionalFormatting sqref="C8">
    <cfRule type="duplicateValues" dxfId="881" priority="4730"/>
  </conditionalFormatting>
  <conditionalFormatting sqref="C8">
    <cfRule type="duplicateValues" dxfId="880" priority="4729"/>
  </conditionalFormatting>
  <conditionalFormatting sqref="C8">
    <cfRule type="duplicateValues" dxfId="879" priority="4728"/>
  </conditionalFormatting>
  <conditionalFormatting sqref="C8">
    <cfRule type="duplicateValues" dxfId="878" priority="4727"/>
  </conditionalFormatting>
  <conditionalFormatting sqref="C8">
    <cfRule type="duplicateValues" dxfId="877" priority="4726"/>
  </conditionalFormatting>
  <conditionalFormatting sqref="C8">
    <cfRule type="duplicateValues" dxfId="876" priority="4725"/>
  </conditionalFormatting>
  <conditionalFormatting sqref="C8">
    <cfRule type="duplicateValues" dxfId="875" priority="4724"/>
  </conditionalFormatting>
  <conditionalFormatting sqref="C8">
    <cfRule type="duplicateValues" dxfId="874" priority="4723"/>
  </conditionalFormatting>
  <conditionalFormatting sqref="C8">
    <cfRule type="duplicateValues" dxfId="873" priority="4722"/>
  </conditionalFormatting>
  <conditionalFormatting sqref="C8">
    <cfRule type="duplicateValues" dxfId="872" priority="4721"/>
  </conditionalFormatting>
  <conditionalFormatting sqref="C8">
    <cfRule type="duplicateValues" dxfId="871" priority="4720"/>
  </conditionalFormatting>
  <conditionalFormatting sqref="C8">
    <cfRule type="duplicateValues" dxfId="870" priority="4719"/>
  </conditionalFormatting>
  <conditionalFormatting sqref="C8">
    <cfRule type="duplicateValues" dxfId="869" priority="4718"/>
  </conditionalFormatting>
  <conditionalFormatting sqref="C8">
    <cfRule type="duplicateValues" dxfId="868" priority="4717"/>
  </conditionalFormatting>
  <conditionalFormatting sqref="C8">
    <cfRule type="duplicateValues" dxfId="867" priority="4715" stopIfTrue="1"/>
    <cfRule type="duplicateValues" dxfId="866" priority="4716"/>
  </conditionalFormatting>
  <conditionalFormatting sqref="C8">
    <cfRule type="duplicateValues" dxfId="865" priority="4714"/>
  </conditionalFormatting>
  <conditionalFormatting sqref="C8">
    <cfRule type="duplicateValues" dxfId="864" priority="4713"/>
  </conditionalFormatting>
  <conditionalFormatting sqref="C8">
    <cfRule type="duplicateValues" dxfId="863" priority="4712"/>
  </conditionalFormatting>
  <conditionalFormatting sqref="C8">
    <cfRule type="duplicateValues" dxfId="862" priority="4711"/>
  </conditionalFormatting>
  <conditionalFormatting sqref="C8">
    <cfRule type="duplicateValues" dxfId="861" priority="4709" stopIfTrue="1"/>
    <cfRule type="duplicateValues" dxfId="860" priority="4710"/>
  </conditionalFormatting>
  <conditionalFormatting sqref="C8">
    <cfRule type="duplicateValues" dxfId="859" priority="4708"/>
  </conditionalFormatting>
  <conditionalFormatting sqref="C8">
    <cfRule type="duplicateValues" dxfId="858" priority="4706" stopIfTrue="1"/>
    <cfRule type="duplicateValues" dxfId="857" priority="4707"/>
  </conditionalFormatting>
  <conditionalFormatting sqref="C8">
    <cfRule type="duplicateValues" dxfId="856" priority="4705"/>
  </conditionalFormatting>
  <conditionalFormatting sqref="C8">
    <cfRule type="duplicateValues" dxfId="855" priority="4703" stopIfTrue="1"/>
    <cfRule type="duplicateValues" dxfId="854" priority="4704"/>
  </conditionalFormatting>
  <conditionalFormatting sqref="C8">
    <cfRule type="duplicateValues" dxfId="853" priority="4702"/>
  </conditionalFormatting>
  <conditionalFormatting sqref="C8">
    <cfRule type="duplicateValues" dxfId="852" priority="4700" stopIfTrue="1"/>
    <cfRule type="duplicateValues" dxfId="851" priority="4701"/>
  </conditionalFormatting>
  <conditionalFormatting sqref="C8">
    <cfRule type="duplicateValues" dxfId="850" priority="4699"/>
  </conditionalFormatting>
  <conditionalFormatting sqref="C8">
    <cfRule type="duplicateValues" dxfId="849" priority="4697" stopIfTrue="1"/>
    <cfRule type="duplicateValues" dxfId="848" priority="4698"/>
  </conditionalFormatting>
  <conditionalFormatting sqref="C8">
    <cfRule type="duplicateValues" dxfId="847" priority="4696"/>
  </conditionalFormatting>
  <conditionalFormatting sqref="C8">
    <cfRule type="duplicateValues" dxfId="846" priority="4695"/>
  </conditionalFormatting>
  <conditionalFormatting sqref="C8">
    <cfRule type="duplicateValues" dxfId="845" priority="4694"/>
  </conditionalFormatting>
  <conditionalFormatting sqref="C8">
    <cfRule type="duplicateValues" dxfId="844" priority="4693"/>
  </conditionalFormatting>
  <conditionalFormatting sqref="C8">
    <cfRule type="duplicateValues" dxfId="843" priority="4692"/>
  </conditionalFormatting>
  <conditionalFormatting sqref="C8">
    <cfRule type="duplicateValues" dxfId="842" priority="4691"/>
  </conditionalFormatting>
  <conditionalFormatting sqref="C8">
    <cfRule type="duplicateValues" dxfId="841" priority="4690"/>
  </conditionalFormatting>
  <conditionalFormatting sqref="C8">
    <cfRule type="duplicateValues" dxfId="840" priority="4689"/>
  </conditionalFormatting>
  <conditionalFormatting sqref="C8">
    <cfRule type="duplicateValues" dxfId="839" priority="4688"/>
  </conditionalFormatting>
  <conditionalFormatting sqref="C8">
    <cfRule type="duplicateValues" dxfId="838" priority="4687"/>
  </conditionalFormatting>
  <conditionalFormatting sqref="C8">
    <cfRule type="duplicateValues" dxfId="837" priority="4686"/>
  </conditionalFormatting>
  <conditionalFormatting sqref="C8">
    <cfRule type="duplicateValues" dxfId="836" priority="4685"/>
  </conditionalFormatting>
  <conditionalFormatting sqref="C8">
    <cfRule type="duplicateValues" dxfId="835" priority="4684"/>
  </conditionalFormatting>
  <conditionalFormatting sqref="C8">
    <cfRule type="duplicateValues" dxfId="834" priority="4683"/>
  </conditionalFormatting>
  <conditionalFormatting sqref="C8">
    <cfRule type="duplicateValues" dxfId="833" priority="4682"/>
  </conditionalFormatting>
  <conditionalFormatting sqref="C8">
    <cfRule type="duplicateValues" dxfId="832" priority="4681"/>
  </conditionalFormatting>
  <conditionalFormatting sqref="C8">
    <cfRule type="duplicateValues" dxfId="831" priority="4680"/>
  </conditionalFormatting>
  <conditionalFormatting sqref="C8">
    <cfRule type="duplicateValues" dxfId="830" priority="4679"/>
  </conditionalFormatting>
  <conditionalFormatting sqref="C8">
    <cfRule type="duplicateValues" dxfId="829" priority="4678"/>
  </conditionalFormatting>
  <conditionalFormatting sqref="C8">
    <cfRule type="duplicateValues" dxfId="828" priority="4677"/>
  </conditionalFormatting>
  <conditionalFormatting sqref="C8">
    <cfRule type="duplicateValues" dxfId="827" priority="4676"/>
  </conditionalFormatting>
  <conditionalFormatting sqref="C8">
    <cfRule type="duplicateValues" dxfId="826" priority="4675"/>
  </conditionalFormatting>
  <conditionalFormatting sqref="C8">
    <cfRule type="duplicateValues" dxfId="825" priority="4674"/>
  </conditionalFormatting>
  <conditionalFormatting sqref="C8">
    <cfRule type="duplicateValues" dxfId="824" priority="4673"/>
  </conditionalFormatting>
  <conditionalFormatting sqref="C8">
    <cfRule type="duplicateValues" dxfId="823" priority="4672"/>
  </conditionalFormatting>
  <conditionalFormatting sqref="C8">
    <cfRule type="duplicateValues" dxfId="822" priority="4671"/>
  </conditionalFormatting>
  <conditionalFormatting sqref="C8">
    <cfRule type="duplicateValues" dxfId="821" priority="4670"/>
  </conditionalFormatting>
  <conditionalFormatting sqref="C8">
    <cfRule type="duplicateValues" dxfId="820" priority="4669"/>
  </conditionalFormatting>
  <conditionalFormatting sqref="C8">
    <cfRule type="duplicateValues" dxfId="819" priority="4668"/>
  </conditionalFormatting>
  <conditionalFormatting sqref="C8">
    <cfRule type="duplicateValues" dxfId="818" priority="4667"/>
  </conditionalFormatting>
  <conditionalFormatting sqref="C8">
    <cfRule type="duplicateValues" dxfId="817" priority="4666"/>
  </conditionalFormatting>
  <conditionalFormatting sqref="C8">
    <cfRule type="duplicateValues" dxfId="816" priority="4665"/>
  </conditionalFormatting>
  <conditionalFormatting sqref="C8">
    <cfRule type="duplicateValues" dxfId="815" priority="4664"/>
  </conditionalFormatting>
  <conditionalFormatting sqref="C8">
    <cfRule type="duplicateValues" dxfId="814" priority="4663"/>
  </conditionalFormatting>
  <conditionalFormatting sqref="C8">
    <cfRule type="duplicateValues" dxfId="813" priority="4662"/>
  </conditionalFormatting>
  <conditionalFormatting sqref="C8">
    <cfRule type="duplicateValues" dxfId="812" priority="4661"/>
  </conditionalFormatting>
  <conditionalFormatting sqref="C8">
    <cfRule type="duplicateValues" dxfId="811" priority="4660"/>
  </conditionalFormatting>
  <conditionalFormatting sqref="C8">
    <cfRule type="duplicateValues" dxfId="810" priority="4659"/>
  </conditionalFormatting>
  <conditionalFormatting sqref="C8">
    <cfRule type="duplicateValues" dxfId="809" priority="4658"/>
  </conditionalFormatting>
  <conditionalFormatting sqref="C8">
    <cfRule type="duplicateValues" dxfId="808" priority="4657"/>
  </conditionalFormatting>
  <conditionalFormatting sqref="C8">
    <cfRule type="duplicateValues" dxfId="807" priority="4655" stopIfTrue="1"/>
    <cfRule type="duplicateValues" dxfId="806" priority="4656"/>
  </conditionalFormatting>
  <conditionalFormatting sqref="C8">
    <cfRule type="duplicateValues" dxfId="805" priority="4654"/>
  </conditionalFormatting>
  <conditionalFormatting sqref="C8">
    <cfRule type="duplicateValues" dxfId="804" priority="4653"/>
  </conditionalFormatting>
  <conditionalFormatting sqref="C8">
    <cfRule type="duplicateValues" dxfId="803" priority="4652"/>
  </conditionalFormatting>
  <conditionalFormatting sqref="C8">
    <cfRule type="duplicateValues" dxfId="802" priority="4651"/>
  </conditionalFormatting>
  <conditionalFormatting sqref="C8">
    <cfRule type="duplicateValues" dxfId="801" priority="4649" stopIfTrue="1"/>
    <cfRule type="duplicateValues" dxfId="800" priority="4650"/>
  </conditionalFormatting>
  <conditionalFormatting sqref="C8">
    <cfRule type="duplicateValues" dxfId="799" priority="4648"/>
  </conditionalFormatting>
  <conditionalFormatting sqref="C8">
    <cfRule type="duplicateValues" dxfId="798" priority="4646" stopIfTrue="1"/>
    <cfRule type="duplicateValues" dxfId="797" priority="4647"/>
  </conditionalFormatting>
  <conditionalFormatting sqref="C8">
    <cfRule type="duplicateValues" dxfId="796" priority="4645"/>
  </conditionalFormatting>
  <conditionalFormatting sqref="C8">
    <cfRule type="duplicateValues" dxfId="795" priority="4644"/>
  </conditionalFormatting>
  <conditionalFormatting sqref="C8">
    <cfRule type="duplicateValues" dxfId="794" priority="4643"/>
  </conditionalFormatting>
  <conditionalFormatting sqref="C8">
    <cfRule type="duplicateValues" dxfId="793" priority="4642"/>
  </conditionalFormatting>
  <conditionalFormatting sqref="C8">
    <cfRule type="duplicateValues" dxfId="792" priority="4641"/>
  </conditionalFormatting>
  <conditionalFormatting sqref="C8">
    <cfRule type="duplicateValues" dxfId="791" priority="4639" stopIfTrue="1"/>
    <cfRule type="duplicateValues" dxfId="790" priority="4640"/>
  </conditionalFormatting>
  <conditionalFormatting sqref="C8">
    <cfRule type="duplicateValues" dxfId="789" priority="4638"/>
  </conditionalFormatting>
  <conditionalFormatting sqref="C8">
    <cfRule type="duplicateValues" dxfId="788" priority="4636" stopIfTrue="1"/>
    <cfRule type="duplicateValues" dxfId="787" priority="4637"/>
  </conditionalFormatting>
  <conditionalFormatting sqref="C8">
    <cfRule type="duplicateValues" dxfId="786" priority="4635"/>
  </conditionalFormatting>
  <conditionalFormatting sqref="C8">
    <cfRule type="duplicateValues" dxfId="785" priority="4633" stopIfTrue="1"/>
    <cfRule type="duplicateValues" dxfId="784" priority="4634"/>
  </conditionalFormatting>
  <conditionalFormatting sqref="C8">
    <cfRule type="duplicateValues" dxfId="783" priority="4632"/>
  </conditionalFormatting>
  <conditionalFormatting sqref="C8">
    <cfRule type="duplicateValues" dxfId="782" priority="4630" stopIfTrue="1"/>
    <cfRule type="duplicateValues" dxfId="781" priority="4631"/>
  </conditionalFormatting>
  <conditionalFormatting sqref="C8">
    <cfRule type="duplicateValues" dxfId="780" priority="4629"/>
  </conditionalFormatting>
  <conditionalFormatting sqref="C8">
    <cfRule type="duplicateValues" dxfId="779" priority="4627" stopIfTrue="1"/>
    <cfRule type="duplicateValues" dxfId="778" priority="4628"/>
  </conditionalFormatting>
  <conditionalFormatting sqref="C8">
    <cfRule type="duplicateValues" dxfId="777" priority="4626"/>
  </conditionalFormatting>
  <conditionalFormatting sqref="C8">
    <cfRule type="duplicateValues" dxfId="776" priority="4624" stopIfTrue="1"/>
    <cfRule type="duplicateValues" dxfId="775" priority="4625"/>
  </conditionalFormatting>
  <conditionalFormatting sqref="C8">
    <cfRule type="duplicateValues" dxfId="774" priority="4623"/>
  </conditionalFormatting>
  <conditionalFormatting sqref="C8">
    <cfRule type="duplicateValues" dxfId="773" priority="4621" stopIfTrue="1"/>
    <cfRule type="duplicateValues" dxfId="772" priority="4622"/>
  </conditionalFormatting>
  <conditionalFormatting sqref="C8">
    <cfRule type="duplicateValues" dxfId="771" priority="4620"/>
  </conditionalFormatting>
  <conditionalFormatting sqref="O12 O9">
    <cfRule type="duplicateValues" dxfId="770" priority="4618"/>
  </conditionalFormatting>
  <conditionalFormatting sqref="B2">
    <cfRule type="duplicateValues" dxfId="769" priority="4616"/>
  </conditionalFormatting>
  <conditionalFormatting sqref="B20:F20 O20">
    <cfRule type="duplicateValues" dxfId="768" priority="4615"/>
  </conditionalFormatting>
  <conditionalFormatting sqref="O2">
    <cfRule type="duplicateValues" dxfId="767" priority="4614"/>
  </conditionalFormatting>
  <conditionalFormatting sqref="O2">
    <cfRule type="duplicateValues" dxfId="766" priority="4613"/>
  </conditionalFormatting>
  <conditionalFormatting sqref="O2">
    <cfRule type="duplicateValues" dxfId="765" priority="4612"/>
  </conditionalFormatting>
  <conditionalFormatting sqref="O10">
    <cfRule type="duplicateValues" dxfId="764" priority="4611"/>
  </conditionalFormatting>
  <conditionalFormatting sqref="O10">
    <cfRule type="duplicateValues" dxfId="763" priority="4610"/>
  </conditionalFormatting>
  <conditionalFormatting sqref="O10">
    <cfRule type="duplicateValues" dxfId="762" priority="4609"/>
  </conditionalFormatting>
  <conditionalFormatting sqref="O22:O23 O31:O36 O25:P30">
    <cfRule type="duplicateValues" dxfId="761" priority="4607"/>
  </conditionalFormatting>
  <conditionalFormatting sqref="O25:P30">
    <cfRule type="duplicateValues" dxfId="760" priority="4606"/>
  </conditionalFormatting>
  <conditionalFormatting sqref="D44:F44 C43 O43:O44 B43:B44">
    <cfRule type="duplicateValues" dxfId="759" priority="4605"/>
  </conditionalFormatting>
  <conditionalFormatting sqref="B24 B26 B30:B33">
    <cfRule type="duplicateValues" dxfId="758" priority="4604"/>
  </conditionalFormatting>
  <conditionalFormatting sqref="O25:P30">
    <cfRule type="duplicateValues" dxfId="757" priority="4603"/>
  </conditionalFormatting>
  <conditionalFormatting sqref="C28">
    <cfRule type="duplicateValues" dxfId="756" priority="4597"/>
  </conditionalFormatting>
  <conditionalFormatting sqref="C28">
    <cfRule type="duplicateValues" dxfId="755" priority="4595" stopIfTrue="1"/>
    <cfRule type="duplicateValues" dxfId="754" priority="4596"/>
  </conditionalFormatting>
  <conditionalFormatting sqref="C32">
    <cfRule type="duplicateValues" dxfId="753" priority="4594"/>
  </conditionalFormatting>
  <conditionalFormatting sqref="C23">
    <cfRule type="duplicateValues" dxfId="752" priority="4586"/>
  </conditionalFormatting>
  <conditionalFormatting sqref="C23">
    <cfRule type="duplicateValues" dxfId="751" priority="4584" stopIfTrue="1"/>
    <cfRule type="duplicateValues" dxfId="750" priority="4585"/>
  </conditionalFormatting>
  <conditionalFormatting sqref="C24">
    <cfRule type="duplicateValues" dxfId="749" priority="4582"/>
  </conditionalFormatting>
  <conditionalFormatting sqref="C24">
    <cfRule type="duplicateValues" dxfId="748" priority="4580" stopIfTrue="1"/>
    <cfRule type="duplicateValues" dxfId="747" priority="4581"/>
  </conditionalFormatting>
  <conditionalFormatting sqref="C25">
    <cfRule type="duplicateValues" dxfId="746" priority="4579"/>
  </conditionalFormatting>
  <conditionalFormatting sqref="C29">
    <cfRule type="duplicateValues" dxfId="745" priority="4578"/>
  </conditionalFormatting>
  <conditionalFormatting sqref="C29">
    <cfRule type="duplicateValues" dxfId="744" priority="4576" stopIfTrue="1"/>
    <cfRule type="duplicateValues" dxfId="743" priority="4577"/>
  </conditionalFormatting>
  <conditionalFormatting sqref="C27">
    <cfRule type="duplicateValues" dxfId="742" priority="4575"/>
  </conditionalFormatting>
  <conditionalFormatting sqref="C27">
    <cfRule type="duplicateValues" dxfId="741" priority="4573" stopIfTrue="1"/>
    <cfRule type="duplicateValues" dxfId="740" priority="4574"/>
  </conditionalFormatting>
  <conditionalFormatting sqref="C38">
    <cfRule type="duplicateValues" dxfId="739" priority="4524"/>
  </conditionalFormatting>
  <conditionalFormatting sqref="C38">
    <cfRule type="duplicateValues" dxfId="738" priority="4522" stopIfTrue="1"/>
    <cfRule type="duplicateValues" dxfId="737" priority="4523"/>
  </conditionalFormatting>
  <conditionalFormatting sqref="C39">
    <cfRule type="duplicateValues" dxfId="736" priority="4521"/>
  </conditionalFormatting>
  <conditionalFormatting sqref="C39">
    <cfRule type="duplicateValues" dxfId="735" priority="4519" stopIfTrue="1"/>
    <cfRule type="duplicateValues" dxfId="734" priority="4520"/>
  </conditionalFormatting>
  <conditionalFormatting sqref="C30">
    <cfRule type="duplicateValues" dxfId="733" priority="4518"/>
  </conditionalFormatting>
  <conditionalFormatting sqref="C30">
    <cfRule type="duplicateValues" dxfId="732" priority="4516" stopIfTrue="1"/>
    <cfRule type="duplicateValues" dxfId="731" priority="4517"/>
  </conditionalFormatting>
  <conditionalFormatting sqref="C33">
    <cfRule type="duplicateValues" dxfId="730" priority="4515"/>
  </conditionalFormatting>
  <conditionalFormatting sqref="C35">
    <cfRule type="duplicateValues" dxfId="729" priority="4514"/>
  </conditionalFormatting>
  <conditionalFormatting sqref="C35">
    <cfRule type="duplicateValues" dxfId="728" priority="4512" stopIfTrue="1"/>
    <cfRule type="duplicateValues" dxfId="727" priority="4513"/>
  </conditionalFormatting>
  <conditionalFormatting sqref="C37">
    <cfRule type="duplicateValues" dxfId="726" priority="4508"/>
  </conditionalFormatting>
  <conditionalFormatting sqref="C37">
    <cfRule type="duplicateValues" dxfId="725" priority="4506" stopIfTrue="1"/>
    <cfRule type="duplicateValues" dxfId="724" priority="4507"/>
  </conditionalFormatting>
  <conditionalFormatting sqref="C36">
    <cfRule type="duplicateValues" dxfId="723" priority="4502"/>
  </conditionalFormatting>
  <conditionalFormatting sqref="C36">
    <cfRule type="duplicateValues" dxfId="722" priority="4501"/>
  </conditionalFormatting>
  <conditionalFormatting sqref="C36">
    <cfRule type="duplicateValues" dxfId="721" priority="4500"/>
  </conditionalFormatting>
  <conditionalFormatting sqref="C36">
    <cfRule type="duplicateValues" dxfId="720" priority="4499"/>
  </conditionalFormatting>
  <conditionalFormatting sqref="C36">
    <cfRule type="duplicateValues" dxfId="719" priority="4498"/>
  </conditionalFormatting>
  <conditionalFormatting sqref="C36">
    <cfRule type="duplicateValues" dxfId="718" priority="4497"/>
  </conditionalFormatting>
  <conditionalFormatting sqref="C36">
    <cfRule type="duplicateValues" dxfId="717" priority="4496"/>
  </conditionalFormatting>
  <conditionalFormatting sqref="C36">
    <cfRule type="duplicateValues" dxfId="716" priority="4495"/>
  </conditionalFormatting>
  <conditionalFormatting sqref="C36">
    <cfRule type="duplicateValues" dxfId="715" priority="4494"/>
  </conditionalFormatting>
  <conditionalFormatting sqref="C36">
    <cfRule type="duplicateValues" dxfId="714" priority="4493"/>
  </conditionalFormatting>
  <conditionalFormatting sqref="C36">
    <cfRule type="duplicateValues" dxfId="713" priority="4492"/>
  </conditionalFormatting>
  <conditionalFormatting sqref="C36">
    <cfRule type="duplicateValues" dxfId="712" priority="4491"/>
  </conditionalFormatting>
  <conditionalFormatting sqref="C36">
    <cfRule type="duplicateValues" dxfId="711" priority="4490"/>
  </conditionalFormatting>
  <conditionalFormatting sqref="C36">
    <cfRule type="duplicateValues" dxfId="710" priority="4489"/>
  </conditionalFormatting>
  <conditionalFormatting sqref="C36">
    <cfRule type="duplicateValues" dxfId="709" priority="4488"/>
  </conditionalFormatting>
  <conditionalFormatting sqref="C36">
    <cfRule type="duplicateValues" dxfId="708" priority="4487"/>
  </conditionalFormatting>
  <conditionalFormatting sqref="C36">
    <cfRule type="duplicateValues" dxfId="707" priority="4486"/>
  </conditionalFormatting>
  <conditionalFormatting sqref="C36">
    <cfRule type="duplicateValues" dxfId="706" priority="4485"/>
  </conditionalFormatting>
  <conditionalFormatting sqref="C36">
    <cfRule type="duplicateValues" dxfId="705" priority="4483" stopIfTrue="1"/>
    <cfRule type="duplicateValues" dxfId="704" priority="4484"/>
  </conditionalFormatting>
  <conditionalFormatting sqref="C36">
    <cfRule type="duplicateValues" dxfId="703" priority="4482"/>
  </conditionalFormatting>
  <conditionalFormatting sqref="C36">
    <cfRule type="duplicateValues" dxfId="702" priority="4480" stopIfTrue="1"/>
    <cfRule type="duplicateValues" dxfId="701" priority="4481"/>
  </conditionalFormatting>
  <conditionalFormatting sqref="C36">
    <cfRule type="duplicateValues" dxfId="700" priority="4479"/>
  </conditionalFormatting>
  <conditionalFormatting sqref="C36">
    <cfRule type="duplicateValues" dxfId="699" priority="4477" stopIfTrue="1"/>
    <cfRule type="duplicateValues" dxfId="698" priority="4478"/>
  </conditionalFormatting>
  <conditionalFormatting sqref="C36">
    <cfRule type="duplicateValues" dxfId="697" priority="4476"/>
  </conditionalFormatting>
  <conditionalFormatting sqref="C36">
    <cfRule type="duplicateValues" dxfId="696" priority="4474" stopIfTrue="1"/>
    <cfRule type="duplicateValues" dxfId="695" priority="4475"/>
  </conditionalFormatting>
  <conditionalFormatting sqref="C36">
    <cfRule type="duplicateValues" dxfId="694" priority="4473"/>
  </conditionalFormatting>
  <conditionalFormatting sqref="C36">
    <cfRule type="duplicateValues" dxfId="693" priority="4471" stopIfTrue="1"/>
    <cfRule type="duplicateValues" dxfId="692" priority="4472"/>
  </conditionalFormatting>
  <conditionalFormatting sqref="C36">
    <cfRule type="duplicateValues" dxfId="691" priority="4470"/>
  </conditionalFormatting>
  <conditionalFormatting sqref="C36">
    <cfRule type="duplicateValues" dxfId="690" priority="4468" stopIfTrue="1"/>
    <cfRule type="duplicateValues" dxfId="689" priority="4469"/>
  </conditionalFormatting>
  <conditionalFormatting sqref="C36">
    <cfRule type="duplicateValues" dxfId="688" priority="4467"/>
  </conditionalFormatting>
  <conditionalFormatting sqref="C36">
    <cfRule type="duplicateValues" dxfId="687" priority="4465" stopIfTrue="1"/>
    <cfRule type="duplicateValues" dxfId="686" priority="4466"/>
  </conditionalFormatting>
  <conditionalFormatting sqref="C36">
    <cfRule type="duplicateValues" dxfId="685" priority="4464"/>
  </conditionalFormatting>
  <conditionalFormatting sqref="C36">
    <cfRule type="duplicateValues" dxfId="684" priority="4463"/>
  </conditionalFormatting>
  <conditionalFormatting sqref="C36">
    <cfRule type="duplicateValues" dxfId="683" priority="4462"/>
  </conditionalFormatting>
  <conditionalFormatting sqref="C36">
    <cfRule type="duplicateValues" dxfId="682" priority="4461"/>
  </conditionalFormatting>
  <conditionalFormatting sqref="C36">
    <cfRule type="duplicateValues" dxfId="681" priority="4459" stopIfTrue="1"/>
    <cfRule type="duplicateValues" dxfId="680" priority="4460"/>
  </conditionalFormatting>
  <conditionalFormatting sqref="C36">
    <cfRule type="duplicateValues" dxfId="679" priority="4458"/>
  </conditionalFormatting>
  <conditionalFormatting sqref="C36">
    <cfRule type="duplicateValues" dxfId="678" priority="4457"/>
  </conditionalFormatting>
  <conditionalFormatting sqref="C36">
    <cfRule type="duplicateValues" dxfId="677" priority="4455" stopIfTrue="1"/>
    <cfRule type="duplicateValues" dxfId="676" priority="4456"/>
  </conditionalFormatting>
  <conditionalFormatting sqref="C36">
    <cfRule type="duplicateValues" dxfId="675" priority="4454"/>
  </conditionalFormatting>
  <conditionalFormatting sqref="C36">
    <cfRule type="duplicateValues" dxfId="674" priority="4452" stopIfTrue="1"/>
    <cfRule type="duplicateValues" dxfId="673" priority="4453"/>
  </conditionalFormatting>
  <conditionalFormatting sqref="C36">
    <cfRule type="duplicateValues" dxfId="672" priority="4451"/>
  </conditionalFormatting>
  <conditionalFormatting sqref="C36">
    <cfRule type="duplicateValues" dxfId="671" priority="4449" stopIfTrue="1"/>
    <cfRule type="duplicateValues" dxfId="670" priority="4450"/>
  </conditionalFormatting>
  <conditionalFormatting sqref="C36">
    <cfRule type="duplicateValues" dxfId="669" priority="4448"/>
  </conditionalFormatting>
  <conditionalFormatting sqref="C36">
    <cfRule type="duplicateValues" dxfId="668" priority="4446" stopIfTrue="1"/>
    <cfRule type="duplicateValues" dxfId="667" priority="4447"/>
  </conditionalFormatting>
  <conditionalFormatting sqref="C36">
    <cfRule type="duplicateValues" dxfId="666" priority="4445"/>
  </conditionalFormatting>
  <conditionalFormatting sqref="C36">
    <cfRule type="duplicateValues" dxfId="665" priority="4443" stopIfTrue="1"/>
    <cfRule type="duplicateValues" dxfId="664" priority="4444"/>
  </conditionalFormatting>
  <conditionalFormatting sqref="C36">
    <cfRule type="duplicateValues" dxfId="663" priority="4442"/>
  </conditionalFormatting>
  <conditionalFormatting sqref="C36">
    <cfRule type="duplicateValues" dxfId="662" priority="4441"/>
  </conditionalFormatting>
  <conditionalFormatting sqref="C36">
    <cfRule type="duplicateValues" dxfId="661" priority="4440"/>
  </conditionalFormatting>
  <conditionalFormatting sqref="C36">
    <cfRule type="duplicateValues" dxfId="660" priority="4439"/>
  </conditionalFormatting>
  <conditionalFormatting sqref="C36">
    <cfRule type="duplicateValues" dxfId="659" priority="4438"/>
  </conditionalFormatting>
  <conditionalFormatting sqref="C36">
    <cfRule type="duplicateValues" dxfId="658" priority="4437"/>
  </conditionalFormatting>
  <conditionalFormatting sqref="C36">
    <cfRule type="duplicateValues" dxfId="657" priority="4436"/>
  </conditionalFormatting>
  <conditionalFormatting sqref="C36">
    <cfRule type="duplicateValues" dxfId="656" priority="4435"/>
  </conditionalFormatting>
  <conditionalFormatting sqref="C36">
    <cfRule type="duplicateValues" dxfId="655" priority="4434"/>
  </conditionalFormatting>
  <conditionalFormatting sqref="C36">
    <cfRule type="duplicateValues" dxfId="654" priority="4433"/>
  </conditionalFormatting>
  <conditionalFormatting sqref="C36">
    <cfRule type="duplicateValues" dxfId="653" priority="4432"/>
  </conditionalFormatting>
  <conditionalFormatting sqref="C36">
    <cfRule type="duplicateValues" dxfId="652" priority="4431"/>
  </conditionalFormatting>
  <conditionalFormatting sqref="C36">
    <cfRule type="duplicateValues" dxfId="651" priority="4429" stopIfTrue="1"/>
    <cfRule type="duplicateValues" dxfId="650" priority="4430"/>
  </conditionalFormatting>
  <conditionalFormatting sqref="C36">
    <cfRule type="duplicateValues" dxfId="649" priority="4428"/>
  </conditionalFormatting>
  <conditionalFormatting sqref="C36">
    <cfRule type="duplicateValues" dxfId="648" priority="4426" stopIfTrue="1"/>
    <cfRule type="duplicateValues" dxfId="647" priority="4427"/>
  </conditionalFormatting>
  <conditionalFormatting sqref="C36">
    <cfRule type="duplicateValues" dxfId="646" priority="4425"/>
  </conditionalFormatting>
  <conditionalFormatting sqref="C36">
    <cfRule type="duplicateValues" dxfId="645" priority="4423" stopIfTrue="1"/>
    <cfRule type="duplicateValues" dxfId="644" priority="4424"/>
  </conditionalFormatting>
  <conditionalFormatting sqref="C36">
    <cfRule type="duplicateValues" dxfId="643" priority="4422"/>
  </conditionalFormatting>
  <conditionalFormatting sqref="C36">
    <cfRule type="duplicateValues" dxfId="642" priority="4420" stopIfTrue="1"/>
    <cfRule type="duplicateValues" dxfId="641" priority="4421"/>
  </conditionalFormatting>
  <conditionalFormatting sqref="C36">
    <cfRule type="duplicateValues" dxfId="640" priority="4419"/>
  </conditionalFormatting>
  <conditionalFormatting sqref="C36">
    <cfRule type="duplicateValues" dxfId="639" priority="4417" stopIfTrue="1"/>
    <cfRule type="duplicateValues" dxfId="638" priority="4418"/>
  </conditionalFormatting>
  <conditionalFormatting sqref="C36">
    <cfRule type="duplicateValues" dxfId="637" priority="4416"/>
  </conditionalFormatting>
  <conditionalFormatting sqref="C36">
    <cfRule type="duplicateValues" dxfId="636" priority="4415"/>
  </conditionalFormatting>
  <conditionalFormatting sqref="C36">
    <cfRule type="duplicateValues" dxfId="635" priority="4414"/>
  </conditionalFormatting>
  <conditionalFormatting sqref="C36">
    <cfRule type="duplicateValues" dxfId="634" priority="4413"/>
  </conditionalFormatting>
  <conditionalFormatting sqref="C36">
    <cfRule type="duplicateValues" dxfId="633" priority="4412"/>
  </conditionalFormatting>
  <conditionalFormatting sqref="C36">
    <cfRule type="duplicateValues" dxfId="632" priority="4411"/>
  </conditionalFormatting>
  <conditionalFormatting sqref="C36">
    <cfRule type="duplicateValues" dxfId="631" priority="4409" stopIfTrue="1"/>
    <cfRule type="duplicateValues" dxfId="630" priority="4410"/>
  </conditionalFormatting>
  <conditionalFormatting sqref="C36">
    <cfRule type="duplicateValues" dxfId="629" priority="4408"/>
  </conditionalFormatting>
  <conditionalFormatting sqref="C36">
    <cfRule type="duplicateValues" dxfId="628" priority="4406" stopIfTrue="1"/>
    <cfRule type="duplicateValues" dxfId="627" priority="4407"/>
  </conditionalFormatting>
  <conditionalFormatting sqref="C36">
    <cfRule type="duplicateValues" dxfId="626" priority="4405"/>
  </conditionalFormatting>
  <conditionalFormatting sqref="C36">
    <cfRule type="duplicateValues" dxfId="625" priority="4403" stopIfTrue="1"/>
    <cfRule type="duplicateValues" dxfId="624" priority="4404"/>
  </conditionalFormatting>
  <conditionalFormatting sqref="C36">
    <cfRule type="duplicateValues" dxfId="623" priority="4402"/>
  </conditionalFormatting>
  <conditionalFormatting sqref="C36">
    <cfRule type="duplicateValues" dxfId="622" priority="4400" stopIfTrue="1"/>
    <cfRule type="duplicateValues" dxfId="621" priority="4401"/>
  </conditionalFormatting>
  <conditionalFormatting sqref="C36">
    <cfRule type="duplicateValues" dxfId="620" priority="4399"/>
  </conditionalFormatting>
  <conditionalFormatting sqref="C36">
    <cfRule type="duplicateValues" dxfId="619" priority="4397" stopIfTrue="1"/>
    <cfRule type="duplicateValues" dxfId="618" priority="4398"/>
  </conditionalFormatting>
  <conditionalFormatting sqref="C36">
    <cfRule type="duplicateValues" dxfId="617" priority="4396"/>
  </conditionalFormatting>
  <conditionalFormatting sqref="C36">
    <cfRule type="duplicateValues" dxfId="616" priority="4395"/>
  </conditionalFormatting>
  <conditionalFormatting sqref="C36">
    <cfRule type="duplicateValues" dxfId="615" priority="4394"/>
  </conditionalFormatting>
  <conditionalFormatting sqref="C36">
    <cfRule type="duplicateValues" dxfId="614" priority="4393"/>
  </conditionalFormatting>
  <conditionalFormatting sqref="C36">
    <cfRule type="duplicateValues" dxfId="613" priority="4392"/>
  </conditionalFormatting>
  <conditionalFormatting sqref="C36">
    <cfRule type="duplicateValues" dxfId="612" priority="4391"/>
  </conditionalFormatting>
  <conditionalFormatting sqref="C36">
    <cfRule type="duplicateValues" dxfId="611" priority="4389" stopIfTrue="1"/>
    <cfRule type="duplicateValues" dxfId="610" priority="4390"/>
  </conditionalFormatting>
  <conditionalFormatting sqref="C36">
    <cfRule type="duplicateValues" dxfId="609" priority="4388"/>
  </conditionalFormatting>
  <conditionalFormatting sqref="C36">
    <cfRule type="duplicateValues" dxfId="608" priority="4386" stopIfTrue="1"/>
    <cfRule type="duplicateValues" dxfId="607" priority="4387"/>
  </conditionalFormatting>
  <conditionalFormatting sqref="C36">
    <cfRule type="duplicateValues" dxfId="606" priority="4385"/>
  </conditionalFormatting>
  <conditionalFormatting sqref="C36">
    <cfRule type="duplicateValues" dxfId="605" priority="4383" stopIfTrue="1"/>
    <cfRule type="duplicateValues" dxfId="604" priority="4384"/>
  </conditionalFormatting>
  <conditionalFormatting sqref="C36">
    <cfRule type="duplicateValues" dxfId="603" priority="4382"/>
  </conditionalFormatting>
  <conditionalFormatting sqref="C36">
    <cfRule type="duplicateValues" dxfId="602" priority="4380" stopIfTrue="1"/>
    <cfRule type="duplicateValues" dxfId="601" priority="4381"/>
  </conditionalFormatting>
  <conditionalFormatting sqref="C36">
    <cfRule type="duplicateValues" dxfId="600" priority="4379"/>
  </conditionalFormatting>
  <conditionalFormatting sqref="C36">
    <cfRule type="duplicateValues" dxfId="599" priority="4377" stopIfTrue="1"/>
    <cfRule type="duplicateValues" dxfId="598" priority="4378"/>
  </conditionalFormatting>
  <conditionalFormatting sqref="C36">
    <cfRule type="duplicateValues" dxfId="597" priority="4376"/>
  </conditionalFormatting>
  <conditionalFormatting sqref="C36">
    <cfRule type="duplicateValues" dxfId="596" priority="4375"/>
  </conditionalFormatting>
  <conditionalFormatting sqref="C36">
    <cfRule type="duplicateValues" dxfId="595" priority="4374"/>
  </conditionalFormatting>
  <conditionalFormatting sqref="C36">
    <cfRule type="duplicateValues" dxfId="594" priority="4373"/>
  </conditionalFormatting>
  <conditionalFormatting sqref="C36">
    <cfRule type="duplicateValues" dxfId="593" priority="4372"/>
  </conditionalFormatting>
  <conditionalFormatting sqref="C36">
    <cfRule type="duplicateValues" dxfId="592" priority="4371"/>
  </conditionalFormatting>
  <conditionalFormatting sqref="C36">
    <cfRule type="duplicateValues" dxfId="591" priority="4369" stopIfTrue="1"/>
    <cfRule type="duplicateValues" dxfId="590" priority="4370"/>
  </conditionalFormatting>
  <conditionalFormatting sqref="C36">
    <cfRule type="duplicateValues" dxfId="589" priority="4368"/>
  </conditionalFormatting>
  <conditionalFormatting sqref="C36">
    <cfRule type="duplicateValues" dxfId="588" priority="4366" stopIfTrue="1"/>
    <cfRule type="duplicateValues" dxfId="587" priority="4367"/>
  </conditionalFormatting>
  <conditionalFormatting sqref="C36">
    <cfRule type="duplicateValues" dxfId="586" priority="4365"/>
  </conditionalFormatting>
  <conditionalFormatting sqref="C36">
    <cfRule type="duplicateValues" dxfId="585" priority="4363" stopIfTrue="1"/>
    <cfRule type="duplicateValues" dxfId="584" priority="4364"/>
  </conditionalFormatting>
  <conditionalFormatting sqref="C36">
    <cfRule type="duplicateValues" dxfId="583" priority="4362"/>
  </conditionalFormatting>
  <conditionalFormatting sqref="C36">
    <cfRule type="duplicateValues" dxfId="582" priority="4360" stopIfTrue="1"/>
    <cfRule type="duplicateValues" dxfId="581" priority="4361"/>
  </conditionalFormatting>
  <conditionalFormatting sqref="C36">
    <cfRule type="duplicateValues" dxfId="580" priority="4359"/>
  </conditionalFormatting>
  <conditionalFormatting sqref="C36">
    <cfRule type="duplicateValues" dxfId="579" priority="4357" stopIfTrue="1"/>
    <cfRule type="duplicateValues" dxfId="578" priority="4358"/>
  </conditionalFormatting>
  <conditionalFormatting sqref="C36">
    <cfRule type="duplicateValues" dxfId="577" priority="4356"/>
  </conditionalFormatting>
  <conditionalFormatting sqref="C36">
    <cfRule type="duplicateValues" dxfId="576" priority="4355"/>
  </conditionalFormatting>
  <conditionalFormatting sqref="C36">
    <cfRule type="duplicateValues" dxfId="575" priority="4354"/>
  </conditionalFormatting>
  <conditionalFormatting sqref="C36">
    <cfRule type="duplicateValues" dxfId="574" priority="4353"/>
  </conditionalFormatting>
  <conditionalFormatting sqref="C36">
    <cfRule type="duplicateValues" dxfId="573" priority="4352"/>
  </conditionalFormatting>
  <conditionalFormatting sqref="C36">
    <cfRule type="duplicateValues" dxfId="572" priority="4351"/>
  </conditionalFormatting>
  <conditionalFormatting sqref="C36">
    <cfRule type="duplicateValues" dxfId="571" priority="4350"/>
  </conditionalFormatting>
  <conditionalFormatting sqref="C36">
    <cfRule type="duplicateValues" dxfId="570" priority="4349"/>
  </conditionalFormatting>
  <conditionalFormatting sqref="C36">
    <cfRule type="duplicateValues" dxfId="569" priority="4348"/>
  </conditionalFormatting>
  <conditionalFormatting sqref="C36">
    <cfRule type="duplicateValues" dxfId="568" priority="4347"/>
  </conditionalFormatting>
  <conditionalFormatting sqref="C36">
    <cfRule type="duplicateValues" dxfId="567" priority="4346"/>
  </conditionalFormatting>
  <conditionalFormatting sqref="C36">
    <cfRule type="duplicateValues" dxfId="566" priority="4345"/>
  </conditionalFormatting>
  <conditionalFormatting sqref="C36">
    <cfRule type="duplicateValues" dxfId="565" priority="4344"/>
  </conditionalFormatting>
  <conditionalFormatting sqref="C36">
    <cfRule type="duplicateValues" dxfId="564" priority="4343"/>
  </conditionalFormatting>
  <conditionalFormatting sqref="C36">
    <cfRule type="duplicateValues" dxfId="563" priority="4342"/>
  </conditionalFormatting>
  <conditionalFormatting sqref="C36">
    <cfRule type="duplicateValues" dxfId="562" priority="4341"/>
  </conditionalFormatting>
  <conditionalFormatting sqref="C36">
    <cfRule type="duplicateValues" dxfId="561" priority="4340"/>
  </conditionalFormatting>
  <conditionalFormatting sqref="C36">
    <cfRule type="duplicateValues" dxfId="560" priority="4339"/>
  </conditionalFormatting>
  <conditionalFormatting sqref="C36">
    <cfRule type="duplicateValues" dxfId="559" priority="4338"/>
  </conditionalFormatting>
  <conditionalFormatting sqref="C36">
    <cfRule type="duplicateValues" dxfId="558" priority="4337"/>
  </conditionalFormatting>
  <conditionalFormatting sqref="C36">
    <cfRule type="duplicateValues" dxfId="557" priority="4336"/>
  </conditionalFormatting>
  <conditionalFormatting sqref="C36">
    <cfRule type="duplicateValues" dxfId="556" priority="4335"/>
  </conditionalFormatting>
  <conditionalFormatting sqref="C36">
    <cfRule type="duplicateValues" dxfId="555" priority="4334"/>
  </conditionalFormatting>
  <conditionalFormatting sqref="C36">
    <cfRule type="duplicateValues" dxfId="554" priority="4333"/>
  </conditionalFormatting>
  <conditionalFormatting sqref="C36">
    <cfRule type="duplicateValues" dxfId="553" priority="4332"/>
  </conditionalFormatting>
  <conditionalFormatting sqref="C36">
    <cfRule type="duplicateValues" dxfId="552" priority="4331"/>
  </conditionalFormatting>
  <conditionalFormatting sqref="C36">
    <cfRule type="duplicateValues" dxfId="551" priority="4330"/>
  </conditionalFormatting>
  <conditionalFormatting sqref="C36">
    <cfRule type="duplicateValues" dxfId="550" priority="4329"/>
  </conditionalFormatting>
  <conditionalFormatting sqref="C36">
    <cfRule type="duplicateValues" dxfId="549" priority="4328"/>
  </conditionalFormatting>
  <conditionalFormatting sqref="C36">
    <cfRule type="duplicateValues" dxfId="548" priority="4327"/>
  </conditionalFormatting>
  <conditionalFormatting sqref="C36">
    <cfRule type="duplicateValues" dxfId="547" priority="4326"/>
  </conditionalFormatting>
  <conditionalFormatting sqref="C36">
    <cfRule type="duplicateValues" dxfId="546" priority="4325"/>
  </conditionalFormatting>
  <conditionalFormatting sqref="C36">
    <cfRule type="duplicateValues" dxfId="545" priority="4324"/>
  </conditionalFormatting>
  <conditionalFormatting sqref="C36">
    <cfRule type="duplicateValues" dxfId="544" priority="4323"/>
  </conditionalFormatting>
  <conditionalFormatting sqref="C36">
    <cfRule type="duplicateValues" dxfId="543" priority="4322"/>
  </conditionalFormatting>
  <conditionalFormatting sqref="C36">
    <cfRule type="duplicateValues" dxfId="542" priority="4321"/>
  </conditionalFormatting>
  <conditionalFormatting sqref="C36">
    <cfRule type="duplicateValues" dxfId="541" priority="4320"/>
  </conditionalFormatting>
  <conditionalFormatting sqref="C36">
    <cfRule type="duplicateValues" dxfId="540" priority="4319"/>
  </conditionalFormatting>
  <conditionalFormatting sqref="C36">
    <cfRule type="duplicateValues" dxfId="539" priority="4318"/>
  </conditionalFormatting>
  <conditionalFormatting sqref="C36">
    <cfRule type="duplicateValues" dxfId="538" priority="4317"/>
  </conditionalFormatting>
  <conditionalFormatting sqref="C36">
    <cfRule type="duplicateValues" dxfId="537" priority="4315" stopIfTrue="1"/>
    <cfRule type="duplicateValues" dxfId="536" priority="4316"/>
  </conditionalFormatting>
  <conditionalFormatting sqref="C36">
    <cfRule type="duplicateValues" dxfId="535" priority="4314"/>
  </conditionalFormatting>
  <conditionalFormatting sqref="B42">
    <cfRule type="duplicateValues" dxfId="534" priority="4311"/>
  </conditionalFormatting>
  <conditionalFormatting sqref="B42">
    <cfRule type="duplicateValues" dxfId="533" priority="4310"/>
  </conditionalFormatting>
  <conditionalFormatting sqref="B42">
    <cfRule type="duplicateValues" dxfId="532" priority="4308" stopIfTrue="1"/>
    <cfRule type="duplicateValues" dxfId="531" priority="4309"/>
  </conditionalFormatting>
  <conditionalFormatting sqref="B42">
    <cfRule type="duplicateValues" dxfId="530" priority="4307"/>
  </conditionalFormatting>
  <conditionalFormatting sqref="B42">
    <cfRule type="duplicateValues" dxfId="529" priority="4305" stopIfTrue="1"/>
    <cfRule type="duplicateValues" dxfId="528" priority="4306"/>
  </conditionalFormatting>
  <conditionalFormatting sqref="B42">
    <cfRule type="duplicateValues" dxfId="527" priority="4304"/>
  </conditionalFormatting>
  <conditionalFormatting sqref="B42">
    <cfRule type="duplicateValues" dxfId="526" priority="4302" stopIfTrue="1"/>
    <cfRule type="duplicateValues" dxfId="525" priority="4303"/>
  </conditionalFormatting>
  <conditionalFormatting sqref="B42">
    <cfRule type="duplicateValues" dxfId="524" priority="4301"/>
  </conditionalFormatting>
  <conditionalFormatting sqref="B42">
    <cfRule type="duplicateValues" dxfId="523" priority="4300"/>
  </conditionalFormatting>
  <conditionalFormatting sqref="B42">
    <cfRule type="duplicateValues" dxfId="522" priority="4298" stopIfTrue="1"/>
    <cfRule type="duplicateValues" dxfId="521" priority="4299"/>
  </conditionalFormatting>
  <conditionalFormatting sqref="B42">
    <cfRule type="duplicateValues" dxfId="520" priority="4297"/>
  </conditionalFormatting>
  <conditionalFormatting sqref="B42">
    <cfRule type="duplicateValues" dxfId="519" priority="4295" stopIfTrue="1"/>
    <cfRule type="duplicateValues" dxfId="518" priority="4296"/>
  </conditionalFormatting>
  <conditionalFormatting sqref="B42">
    <cfRule type="duplicateValues" dxfId="517" priority="4294"/>
  </conditionalFormatting>
  <conditionalFormatting sqref="B42">
    <cfRule type="duplicateValues" dxfId="516" priority="4292" stopIfTrue="1"/>
    <cfRule type="duplicateValues" dxfId="515" priority="4293"/>
  </conditionalFormatting>
  <conditionalFormatting sqref="B42">
    <cfRule type="duplicateValues" dxfId="514" priority="4291"/>
  </conditionalFormatting>
  <conditionalFormatting sqref="B42">
    <cfRule type="duplicateValues" dxfId="513" priority="4290"/>
  </conditionalFormatting>
  <conditionalFormatting sqref="B42">
    <cfRule type="duplicateValues" dxfId="512" priority="4288" stopIfTrue="1"/>
    <cfRule type="duplicateValues" dxfId="511" priority="4289"/>
  </conditionalFormatting>
  <conditionalFormatting sqref="B42">
    <cfRule type="duplicateValues" dxfId="510" priority="4287"/>
  </conditionalFormatting>
  <conditionalFormatting sqref="B42">
    <cfRule type="duplicateValues" dxfId="509" priority="4285" stopIfTrue="1"/>
    <cfRule type="duplicateValues" dxfId="508" priority="4286"/>
  </conditionalFormatting>
  <conditionalFormatting sqref="B42">
    <cfRule type="duplicateValues" dxfId="507" priority="4284"/>
  </conditionalFormatting>
  <conditionalFormatting sqref="B42">
    <cfRule type="duplicateValues" dxfId="506" priority="4283"/>
  </conditionalFormatting>
  <conditionalFormatting sqref="B42">
    <cfRule type="duplicateValues" dxfId="505" priority="4281" stopIfTrue="1"/>
    <cfRule type="duplicateValues" dxfId="504" priority="4282"/>
  </conditionalFormatting>
  <conditionalFormatting sqref="B42">
    <cfRule type="duplicateValues" dxfId="503" priority="4280"/>
  </conditionalFormatting>
  <conditionalFormatting sqref="B42">
    <cfRule type="duplicateValues" dxfId="502" priority="4278" stopIfTrue="1"/>
    <cfRule type="duplicateValues" dxfId="501" priority="4279"/>
  </conditionalFormatting>
  <conditionalFormatting sqref="B42">
    <cfRule type="duplicateValues" dxfId="500" priority="4277"/>
  </conditionalFormatting>
  <conditionalFormatting sqref="B42">
    <cfRule type="duplicateValues" dxfId="499" priority="4276"/>
  </conditionalFormatting>
  <conditionalFormatting sqref="B42">
    <cfRule type="duplicateValues" dxfId="498" priority="4274" stopIfTrue="1"/>
    <cfRule type="duplicateValues" dxfId="497" priority="4275"/>
  </conditionalFormatting>
  <conditionalFormatting sqref="B42">
    <cfRule type="duplicateValues" dxfId="496" priority="4273"/>
  </conditionalFormatting>
  <conditionalFormatting sqref="B42">
    <cfRule type="duplicateValues" dxfId="495" priority="4271" stopIfTrue="1"/>
    <cfRule type="duplicateValues" dxfId="494" priority="4272"/>
  </conditionalFormatting>
  <conditionalFormatting sqref="B42">
    <cfRule type="duplicateValues" dxfId="493" priority="4270"/>
  </conditionalFormatting>
  <conditionalFormatting sqref="B42">
    <cfRule type="duplicateValues" dxfId="492" priority="4269"/>
  </conditionalFormatting>
  <conditionalFormatting sqref="B42">
    <cfRule type="duplicateValues" dxfId="491" priority="4267" stopIfTrue="1"/>
    <cfRule type="duplicateValues" dxfId="490" priority="4268"/>
  </conditionalFormatting>
  <conditionalFormatting sqref="B42">
    <cfRule type="duplicateValues" dxfId="489" priority="4266"/>
  </conditionalFormatting>
  <conditionalFormatting sqref="B42">
    <cfRule type="duplicateValues" dxfId="488" priority="4264" stopIfTrue="1"/>
    <cfRule type="duplicateValues" dxfId="487" priority="4265"/>
  </conditionalFormatting>
  <conditionalFormatting sqref="B42">
    <cfRule type="duplicateValues" dxfId="486" priority="4263"/>
  </conditionalFormatting>
  <conditionalFormatting sqref="B42">
    <cfRule type="duplicateValues" dxfId="485" priority="4262"/>
  </conditionalFormatting>
  <conditionalFormatting sqref="B42">
    <cfRule type="duplicateValues" dxfId="484" priority="4260" stopIfTrue="1"/>
    <cfRule type="duplicateValues" dxfId="483" priority="4261"/>
  </conditionalFormatting>
  <conditionalFormatting sqref="B42">
    <cfRule type="duplicateValues" dxfId="482" priority="4259"/>
  </conditionalFormatting>
  <conditionalFormatting sqref="B42">
    <cfRule type="duplicateValues" dxfId="481" priority="4257" stopIfTrue="1"/>
    <cfRule type="duplicateValues" dxfId="480" priority="4258"/>
  </conditionalFormatting>
  <conditionalFormatting sqref="B42">
    <cfRule type="duplicateValues" dxfId="479" priority="4256"/>
  </conditionalFormatting>
  <conditionalFormatting sqref="B42">
    <cfRule type="duplicateValues" dxfId="478" priority="4255"/>
  </conditionalFormatting>
  <conditionalFormatting sqref="B42">
    <cfRule type="duplicateValues" dxfId="477" priority="4253" stopIfTrue="1"/>
    <cfRule type="duplicateValues" dxfId="476" priority="4254"/>
  </conditionalFormatting>
  <conditionalFormatting sqref="B42">
    <cfRule type="duplicateValues" dxfId="475" priority="4252"/>
  </conditionalFormatting>
  <conditionalFormatting sqref="B42">
    <cfRule type="duplicateValues" dxfId="474" priority="4250" stopIfTrue="1"/>
    <cfRule type="duplicateValues" dxfId="473" priority="4251"/>
  </conditionalFormatting>
  <conditionalFormatting sqref="B42">
    <cfRule type="duplicateValues" dxfId="472" priority="4249"/>
  </conditionalFormatting>
  <conditionalFormatting sqref="B42">
    <cfRule type="duplicateValues" dxfId="471" priority="4248"/>
  </conditionalFormatting>
  <conditionalFormatting sqref="B42">
    <cfRule type="duplicateValues" dxfId="470" priority="4247"/>
  </conditionalFormatting>
  <conditionalFormatting sqref="B42">
    <cfRule type="duplicateValues" dxfId="469" priority="4246"/>
  </conditionalFormatting>
  <conditionalFormatting sqref="B42">
    <cfRule type="duplicateValues" dxfId="468" priority="4244" stopIfTrue="1"/>
    <cfRule type="duplicateValues" dxfId="467" priority="4245"/>
  </conditionalFormatting>
  <conditionalFormatting sqref="B42">
    <cfRule type="duplicateValues" dxfId="466" priority="4243"/>
  </conditionalFormatting>
  <conditionalFormatting sqref="B42">
    <cfRule type="duplicateValues" dxfId="465" priority="4242"/>
  </conditionalFormatting>
  <conditionalFormatting sqref="B42">
    <cfRule type="duplicateValues" dxfId="464" priority="4240" stopIfTrue="1"/>
    <cfRule type="duplicateValues" dxfId="463" priority="4241"/>
  </conditionalFormatting>
  <conditionalFormatting sqref="B42">
    <cfRule type="duplicateValues" dxfId="462" priority="4239"/>
  </conditionalFormatting>
  <conditionalFormatting sqref="B42">
    <cfRule type="duplicateValues" dxfId="461" priority="4237" stopIfTrue="1"/>
    <cfRule type="duplicateValues" dxfId="460" priority="4238"/>
  </conditionalFormatting>
  <conditionalFormatting sqref="B42">
    <cfRule type="duplicateValues" dxfId="459" priority="4236"/>
  </conditionalFormatting>
  <conditionalFormatting sqref="B42">
    <cfRule type="duplicateValues" dxfId="458" priority="4234" stopIfTrue="1"/>
    <cfRule type="duplicateValues" dxfId="457" priority="4235"/>
  </conditionalFormatting>
  <conditionalFormatting sqref="B42">
    <cfRule type="duplicateValues" dxfId="456" priority="4233"/>
  </conditionalFormatting>
  <conditionalFormatting sqref="B42">
    <cfRule type="duplicateValues" dxfId="455" priority="4232"/>
  </conditionalFormatting>
  <conditionalFormatting sqref="B42">
    <cfRule type="duplicateValues" dxfId="454" priority="4231"/>
  </conditionalFormatting>
  <conditionalFormatting sqref="B42">
    <cfRule type="duplicateValues" dxfId="453" priority="4230"/>
  </conditionalFormatting>
  <conditionalFormatting sqref="B42">
    <cfRule type="duplicateValues" dxfId="452" priority="4229"/>
  </conditionalFormatting>
  <conditionalFormatting sqref="B42">
    <cfRule type="duplicateValues" dxfId="451" priority="4228"/>
  </conditionalFormatting>
  <conditionalFormatting sqref="B42">
    <cfRule type="duplicateValues" dxfId="450" priority="4227"/>
  </conditionalFormatting>
  <conditionalFormatting sqref="B42">
    <cfRule type="duplicateValues" dxfId="449" priority="4226"/>
  </conditionalFormatting>
  <conditionalFormatting sqref="B42">
    <cfRule type="duplicateValues" dxfId="448" priority="4225"/>
  </conditionalFormatting>
  <conditionalFormatting sqref="B42">
    <cfRule type="duplicateValues" dxfId="447" priority="4224"/>
  </conditionalFormatting>
  <conditionalFormatting sqref="B42">
    <cfRule type="duplicateValues" dxfId="446" priority="4222" stopIfTrue="1"/>
    <cfRule type="duplicateValues" dxfId="445" priority="4223"/>
  </conditionalFormatting>
  <conditionalFormatting sqref="B42">
    <cfRule type="duplicateValues" dxfId="444" priority="4221"/>
  </conditionalFormatting>
  <conditionalFormatting sqref="B42">
    <cfRule type="duplicateValues" dxfId="443" priority="4220"/>
  </conditionalFormatting>
  <conditionalFormatting sqref="B42">
    <cfRule type="duplicateValues" dxfId="442" priority="4218" stopIfTrue="1"/>
    <cfRule type="duplicateValues" dxfId="441" priority="4219"/>
  </conditionalFormatting>
  <conditionalFormatting sqref="B42">
    <cfRule type="duplicateValues" dxfId="440" priority="4217"/>
  </conditionalFormatting>
  <conditionalFormatting sqref="B42">
    <cfRule type="duplicateValues" dxfId="439" priority="4215" stopIfTrue="1"/>
    <cfRule type="duplicateValues" dxfId="438" priority="4216"/>
  </conditionalFormatting>
  <conditionalFormatting sqref="B42">
    <cfRule type="duplicateValues" dxfId="437" priority="4214"/>
  </conditionalFormatting>
  <conditionalFormatting sqref="B42">
    <cfRule type="duplicateValues" dxfId="436" priority="4212" stopIfTrue="1"/>
    <cfRule type="duplicateValues" dxfId="435" priority="4213"/>
  </conditionalFormatting>
  <conditionalFormatting sqref="B42">
    <cfRule type="duplicateValues" dxfId="434" priority="4211"/>
  </conditionalFormatting>
  <conditionalFormatting sqref="B42">
    <cfRule type="duplicateValues" dxfId="433" priority="4210"/>
  </conditionalFormatting>
  <conditionalFormatting sqref="B42">
    <cfRule type="duplicateValues" dxfId="432" priority="4209"/>
  </conditionalFormatting>
  <conditionalFormatting sqref="B42">
    <cfRule type="duplicateValues" dxfId="431" priority="4208"/>
  </conditionalFormatting>
  <conditionalFormatting sqref="B42">
    <cfRule type="duplicateValues" dxfId="430" priority="4207"/>
  </conditionalFormatting>
  <conditionalFormatting sqref="B42">
    <cfRule type="duplicateValues" dxfId="429" priority="4206"/>
  </conditionalFormatting>
  <conditionalFormatting sqref="B42">
    <cfRule type="duplicateValues" dxfId="428" priority="4205"/>
  </conditionalFormatting>
  <conditionalFormatting sqref="B42">
    <cfRule type="duplicateValues" dxfId="427" priority="4204"/>
  </conditionalFormatting>
  <conditionalFormatting sqref="B42">
    <cfRule type="duplicateValues" dxfId="426" priority="4203"/>
  </conditionalFormatting>
  <conditionalFormatting sqref="B42">
    <cfRule type="duplicateValues" dxfId="425" priority="4201" stopIfTrue="1"/>
    <cfRule type="duplicateValues" dxfId="424" priority="4202"/>
  </conditionalFormatting>
  <conditionalFormatting sqref="B42">
    <cfRule type="duplicateValues" dxfId="423" priority="4200"/>
  </conditionalFormatting>
  <conditionalFormatting sqref="B42">
    <cfRule type="duplicateValues" dxfId="422" priority="4198" stopIfTrue="1"/>
    <cfRule type="duplicateValues" dxfId="421" priority="4199"/>
  </conditionalFormatting>
  <conditionalFormatting sqref="B42">
    <cfRule type="duplicateValues" dxfId="420" priority="4197"/>
  </conditionalFormatting>
  <conditionalFormatting sqref="B42">
    <cfRule type="duplicateValues" dxfId="419" priority="4196"/>
  </conditionalFormatting>
  <conditionalFormatting sqref="B42">
    <cfRule type="duplicateValues" dxfId="418" priority="4194" stopIfTrue="1"/>
    <cfRule type="duplicateValues" dxfId="417" priority="4195"/>
  </conditionalFormatting>
  <conditionalFormatting sqref="B42">
    <cfRule type="duplicateValues" dxfId="416" priority="4193"/>
  </conditionalFormatting>
  <conditionalFormatting sqref="B42">
    <cfRule type="duplicateValues" dxfId="415" priority="4191" stopIfTrue="1"/>
    <cfRule type="duplicateValues" dxfId="414" priority="4192"/>
  </conditionalFormatting>
  <conditionalFormatting sqref="B42">
    <cfRule type="duplicateValues" dxfId="413" priority="4190"/>
  </conditionalFormatting>
  <conditionalFormatting sqref="B42">
    <cfRule type="duplicateValues" dxfId="412" priority="4189"/>
  </conditionalFormatting>
  <conditionalFormatting sqref="B42">
    <cfRule type="duplicateValues" dxfId="411" priority="4187" stopIfTrue="1"/>
    <cfRule type="duplicateValues" dxfId="410" priority="4188"/>
  </conditionalFormatting>
  <conditionalFormatting sqref="B42">
    <cfRule type="duplicateValues" dxfId="409" priority="4186"/>
  </conditionalFormatting>
  <conditionalFormatting sqref="B42">
    <cfRule type="duplicateValues" dxfId="408" priority="4184" stopIfTrue="1"/>
    <cfRule type="duplicateValues" dxfId="407" priority="4185"/>
  </conditionalFormatting>
  <conditionalFormatting sqref="B42">
    <cfRule type="duplicateValues" dxfId="406" priority="4183"/>
  </conditionalFormatting>
  <conditionalFormatting sqref="B42">
    <cfRule type="duplicateValues" dxfId="405" priority="4182"/>
  </conditionalFormatting>
  <conditionalFormatting sqref="B42">
    <cfRule type="duplicateValues" dxfId="404" priority="4180" stopIfTrue="1"/>
    <cfRule type="duplicateValues" dxfId="403" priority="4181"/>
  </conditionalFormatting>
  <conditionalFormatting sqref="B42">
    <cfRule type="duplicateValues" dxfId="402" priority="4179"/>
  </conditionalFormatting>
  <conditionalFormatting sqref="B42">
    <cfRule type="duplicateValues" dxfId="401" priority="4177" stopIfTrue="1"/>
    <cfRule type="duplicateValues" dxfId="400" priority="4178"/>
  </conditionalFormatting>
  <conditionalFormatting sqref="B42">
    <cfRule type="duplicateValues" dxfId="399" priority="4176"/>
  </conditionalFormatting>
  <conditionalFormatting sqref="B42">
    <cfRule type="duplicateValues" dxfId="398" priority="4175"/>
  </conditionalFormatting>
  <conditionalFormatting sqref="B42">
    <cfRule type="duplicateValues" dxfId="397" priority="4173" stopIfTrue="1"/>
    <cfRule type="duplicateValues" dxfId="396" priority="4174"/>
  </conditionalFormatting>
  <conditionalFormatting sqref="B42">
    <cfRule type="duplicateValues" dxfId="395" priority="4172"/>
  </conditionalFormatting>
  <conditionalFormatting sqref="B42">
    <cfRule type="duplicateValues" dxfId="394" priority="4170" stopIfTrue="1"/>
    <cfRule type="duplicateValues" dxfId="393" priority="4171"/>
  </conditionalFormatting>
  <conditionalFormatting sqref="B42">
    <cfRule type="duplicateValues" dxfId="392" priority="4169"/>
  </conditionalFormatting>
  <conditionalFormatting sqref="B42">
    <cfRule type="duplicateValues" dxfId="391" priority="4168"/>
  </conditionalFormatting>
  <conditionalFormatting sqref="B42">
    <cfRule type="duplicateValues" dxfId="390" priority="4166" stopIfTrue="1"/>
    <cfRule type="duplicateValues" dxfId="389" priority="4167"/>
  </conditionalFormatting>
  <conditionalFormatting sqref="B42">
    <cfRule type="duplicateValues" dxfId="388" priority="4165"/>
  </conditionalFormatting>
  <conditionalFormatting sqref="B42">
    <cfRule type="duplicateValues" dxfId="387" priority="4163" stopIfTrue="1"/>
    <cfRule type="duplicateValues" dxfId="386" priority="4164"/>
  </conditionalFormatting>
  <conditionalFormatting sqref="B42">
    <cfRule type="duplicateValues" dxfId="385" priority="4162"/>
  </conditionalFormatting>
  <conditionalFormatting sqref="B42">
    <cfRule type="duplicateValues" dxfId="384" priority="4161"/>
  </conditionalFormatting>
  <conditionalFormatting sqref="B42">
    <cfRule type="duplicateValues" dxfId="383" priority="4159" stopIfTrue="1"/>
    <cfRule type="duplicateValues" dxfId="382" priority="4160"/>
  </conditionalFormatting>
  <conditionalFormatting sqref="B42">
    <cfRule type="duplicateValues" dxfId="381" priority="4158"/>
  </conditionalFormatting>
  <conditionalFormatting sqref="B42">
    <cfRule type="duplicateValues" dxfId="380" priority="4156" stopIfTrue="1"/>
    <cfRule type="duplicateValues" dxfId="379" priority="4157"/>
  </conditionalFormatting>
  <conditionalFormatting sqref="B42">
    <cfRule type="duplicateValues" dxfId="378" priority="4155"/>
  </conditionalFormatting>
  <conditionalFormatting sqref="B42">
    <cfRule type="duplicateValues" dxfId="377" priority="4154"/>
  </conditionalFormatting>
  <conditionalFormatting sqref="B42">
    <cfRule type="duplicateValues" dxfId="376" priority="4152" stopIfTrue="1"/>
    <cfRule type="duplicateValues" dxfId="375" priority="4153"/>
  </conditionalFormatting>
  <conditionalFormatting sqref="B42">
    <cfRule type="duplicateValues" dxfId="374" priority="4151"/>
  </conditionalFormatting>
  <conditionalFormatting sqref="B42">
    <cfRule type="duplicateValues" dxfId="373" priority="4149" stopIfTrue="1"/>
    <cfRule type="duplicateValues" dxfId="372" priority="4150"/>
  </conditionalFormatting>
  <conditionalFormatting sqref="B42">
    <cfRule type="duplicateValues" dxfId="371" priority="4148"/>
  </conditionalFormatting>
  <conditionalFormatting sqref="B42">
    <cfRule type="duplicateValues" dxfId="370" priority="4147"/>
  </conditionalFormatting>
  <conditionalFormatting sqref="B31:B34">
    <cfRule type="duplicateValues" dxfId="369" priority="4064"/>
  </conditionalFormatting>
  <conditionalFormatting sqref="B32:B35">
    <cfRule type="duplicateValues" dxfId="368" priority="4063"/>
  </conditionalFormatting>
  <conditionalFormatting sqref="B33:B35">
    <cfRule type="duplicateValues" dxfId="367" priority="4062"/>
  </conditionalFormatting>
  <conditionalFormatting sqref="B34:B35">
    <cfRule type="duplicateValues" dxfId="366" priority="4061"/>
  </conditionalFormatting>
  <conditionalFormatting sqref="B35">
    <cfRule type="duplicateValues" dxfId="365" priority="4060"/>
  </conditionalFormatting>
  <conditionalFormatting sqref="B34">
    <cfRule type="duplicateValues" dxfId="364" priority="4059"/>
  </conditionalFormatting>
  <conditionalFormatting sqref="P2 J2 N2 J23:J25 N23:N25">
    <cfRule type="colorScale" priority="39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 J2 N2 J23:J25 N23:N25">
    <cfRule type="colorScale" priority="3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9">
    <cfRule type="duplicateValues" dxfId="363" priority="8661"/>
  </conditionalFormatting>
  <conditionalFormatting sqref="O16:O19">
    <cfRule type="duplicateValues" dxfId="362" priority="8666"/>
  </conditionalFormatting>
  <conditionalFormatting sqref="B40">
    <cfRule type="duplicateValues" dxfId="361" priority="3971"/>
  </conditionalFormatting>
  <conditionalFormatting sqref="B40">
    <cfRule type="duplicateValues" dxfId="360" priority="3970"/>
  </conditionalFormatting>
  <conditionalFormatting sqref="B40">
    <cfRule type="duplicateValues" dxfId="359" priority="3968" stopIfTrue="1"/>
    <cfRule type="duplicateValues" dxfId="358" priority="3969"/>
  </conditionalFormatting>
  <conditionalFormatting sqref="B40">
    <cfRule type="duplicateValues" dxfId="357" priority="3967"/>
  </conditionalFormatting>
  <conditionalFormatting sqref="B40">
    <cfRule type="duplicateValues" dxfId="356" priority="3965" stopIfTrue="1"/>
    <cfRule type="duplicateValues" dxfId="355" priority="3966"/>
  </conditionalFormatting>
  <conditionalFormatting sqref="B40">
    <cfRule type="duplicateValues" dxfId="354" priority="3964"/>
  </conditionalFormatting>
  <conditionalFormatting sqref="B40">
    <cfRule type="duplicateValues" dxfId="353" priority="3962" stopIfTrue="1"/>
    <cfRule type="duplicateValues" dxfId="352" priority="3963"/>
  </conditionalFormatting>
  <conditionalFormatting sqref="B40">
    <cfRule type="duplicateValues" dxfId="351" priority="3961"/>
  </conditionalFormatting>
  <conditionalFormatting sqref="B40">
    <cfRule type="duplicateValues" dxfId="350" priority="3960"/>
  </conditionalFormatting>
  <conditionalFormatting sqref="B40">
    <cfRule type="duplicateValues" dxfId="349" priority="3958" stopIfTrue="1"/>
    <cfRule type="duplicateValues" dxfId="348" priority="3959"/>
  </conditionalFormatting>
  <conditionalFormatting sqref="B40">
    <cfRule type="duplicateValues" dxfId="347" priority="3957"/>
  </conditionalFormatting>
  <conditionalFormatting sqref="B40">
    <cfRule type="duplicateValues" dxfId="346" priority="3955" stopIfTrue="1"/>
    <cfRule type="duplicateValues" dxfId="345" priority="3956"/>
  </conditionalFormatting>
  <conditionalFormatting sqref="B40">
    <cfRule type="duplicateValues" dxfId="344" priority="3954"/>
  </conditionalFormatting>
  <conditionalFormatting sqref="B40">
    <cfRule type="duplicateValues" dxfId="343" priority="3952" stopIfTrue="1"/>
    <cfRule type="duplicateValues" dxfId="342" priority="3953"/>
  </conditionalFormatting>
  <conditionalFormatting sqref="B40">
    <cfRule type="duplicateValues" dxfId="341" priority="3951"/>
  </conditionalFormatting>
  <conditionalFormatting sqref="B40">
    <cfRule type="duplicateValues" dxfId="340" priority="3950"/>
  </conditionalFormatting>
  <conditionalFormatting sqref="B40">
    <cfRule type="duplicateValues" dxfId="339" priority="3948" stopIfTrue="1"/>
    <cfRule type="duplicateValues" dxfId="338" priority="3949"/>
  </conditionalFormatting>
  <conditionalFormatting sqref="B40">
    <cfRule type="duplicateValues" dxfId="337" priority="3947"/>
  </conditionalFormatting>
  <conditionalFormatting sqref="B40">
    <cfRule type="duplicateValues" dxfId="336" priority="3945" stopIfTrue="1"/>
    <cfRule type="duplicateValues" dxfId="335" priority="3946"/>
  </conditionalFormatting>
  <conditionalFormatting sqref="B40">
    <cfRule type="duplicateValues" dxfId="334" priority="3944"/>
  </conditionalFormatting>
  <conditionalFormatting sqref="B40">
    <cfRule type="duplicateValues" dxfId="333" priority="3943"/>
  </conditionalFormatting>
  <conditionalFormatting sqref="B40">
    <cfRule type="duplicateValues" dxfId="332" priority="3941" stopIfTrue="1"/>
    <cfRule type="duplicateValues" dxfId="331" priority="3942"/>
  </conditionalFormatting>
  <conditionalFormatting sqref="B40">
    <cfRule type="duplicateValues" dxfId="330" priority="3940"/>
  </conditionalFormatting>
  <conditionalFormatting sqref="B40">
    <cfRule type="duplicateValues" dxfId="329" priority="3938" stopIfTrue="1"/>
    <cfRule type="duplicateValues" dxfId="328" priority="3939"/>
  </conditionalFormatting>
  <conditionalFormatting sqref="B40">
    <cfRule type="duplicateValues" dxfId="327" priority="3937"/>
  </conditionalFormatting>
  <conditionalFormatting sqref="B40">
    <cfRule type="duplicateValues" dxfId="326" priority="3936"/>
  </conditionalFormatting>
  <conditionalFormatting sqref="B40">
    <cfRule type="duplicateValues" dxfId="325" priority="3934" stopIfTrue="1"/>
    <cfRule type="duplicateValues" dxfId="324" priority="3935"/>
  </conditionalFormatting>
  <conditionalFormatting sqref="B40">
    <cfRule type="duplicateValues" dxfId="323" priority="3933"/>
  </conditionalFormatting>
  <conditionalFormatting sqref="B40">
    <cfRule type="duplicateValues" dxfId="322" priority="3931" stopIfTrue="1"/>
    <cfRule type="duplicateValues" dxfId="321" priority="3932"/>
  </conditionalFormatting>
  <conditionalFormatting sqref="B40">
    <cfRule type="duplicateValues" dxfId="320" priority="3930"/>
  </conditionalFormatting>
  <conditionalFormatting sqref="B40">
    <cfRule type="duplicateValues" dxfId="319" priority="3929"/>
  </conditionalFormatting>
  <conditionalFormatting sqref="B40">
    <cfRule type="duplicateValues" dxfId="318" priority="3927" stopIfTrue="1"/>
    <cfRule type="duplicateValues" dxfId="317" priority="3928"/>
  </conditionalFormatting>
  <conditionalFormatting sqref="B40">
    <cfRule type="duplicateValues" dxfId="316" priority="3926"/>
  </conditionalFormatting>
  <conditionalFormatting sqref="B40">
    <cfRule type="duplicateValues" dxfId="315" priority="3924" stopIfTrue="1"/>
    <cfRule type="duplicateValues" dxfId="314" priority="3925"/>
  </conditionalFormatting>
  <conditionalFormatting sqref="B40">
    <cfRule type="duplicateValues" dxfId="313" priority="3923"/>
  </conditionalFormatting>
  <conditionalFormatting sqref="B40">
    <cfRule type="duplicateValues" dxfId="312" priority="3922"/>
  </conditionalFormatting>
  <conditionalFormatting sqref="B40">
    <cfRule type="duplicateValues" dxfId="311" priority="3920" stopIfTrue="1"/>
    <cfRule type="duplicateValues" dxfId="310" priority="3921"/>
  </conditionalFormatting>
  <conditionalFormatting sqref="B40">
    <cfRule type="duplicateValues" dxfId="309" priority="3919"/>
  </conditionalFormatting>
  <conditionalFormatting sqref="B40">
    <cfRule type="duplicateValues" dxfId="308" priority="3917" stopIfTrue="1"/>
    <cfRule type="duplicateValues" dxfId="307" priority="3918"/>
  </conditionalFormatting>
  <conditionalFormatting sqref="B40">
    <cfRule type="duplicateValues" dxfId="306" priority="3916"/>
  </conditionalFormatting>
  <conditionalFormatting sqref="B40">
    <cfRule type="duplicateValues" dxfId="305" priority="3915"/>
  </conditionalFormatting>
  <conditionalFormatting sqref="B40">
    <cfRule type="duplicateValues" dxfId="304" priority="3913" stopIfTrue="1"/>
    <cfRule type="duplicateValues" dxfId="303" priority="3914"/>
  </conditionalFormatting>
  <conditionalFormatting sqref="B40">
    <cfRule type="duplicateValues" dxfId="302" priority="3912"/>
  </conditionalFormatting>
  <conditionalFormatting sqref="B40">
    <cfRule type="duplicateValues" dxfId="301" priority="3910" stopIfTrue="1"/>
    <cfRule type="duplicateValues" dxfId="300" priority="3911"/>
  </conditionalFormatting>
  <conditionalFormatting sqref="B40">
    <cfRule type="duplicateValues" dxfId="299" priority="3909"/>
  </conditionalFormatting>
  <conditionalFormatting sqref="B40">
    <cfRule type="duplicateValues" dxfId="298" priority="3908"/>
  </conditionalFormatting>
  <conditionalFormatting sqref="B40">
    <cfRule type="duplicateValues" dxfId="297" priority="3907"/>
  </conditionalFormatting>
  <conditionalFormatting sqref="B40">
    <cfRule type="duplicateValues" dxfId="296" priority="3906"/>
  </conditionalFormatting>
  <conditionalFormatting sqref="B40">
    <cfRule type="duplicateValues" dxfId="295" priority="3904" stopIfTrue="1"/>
    <cfRule type="duplicateValues" dxfId="294" priority="3905"/>
  </conditionalFormatting>
  <conditionalFormatting sqref="B40">
    <cfRule type="duplicateValues" dxfId="293" priority="3903"/>
  </conditionalFormatting>
  <conditionalFormatting sqref="B40">
    <cfRule type="duplicateValues" dxfId="292" priority="3902"/>
  </conditionalFormatting>
  <conditionalFormatting sqref="B40">
    <cfRule type="duplicateValues" dxfId="291" priority="3900" stopIfTrue="1"/>
    <cfRule type="duplicateValues" dxfId="290" priority="3901"/>
  </conditionalFormatting>
  <conditionalFormatting sqref="B40">
    <cfRule type="duplicateValues" dxfId="289" priority="3899"/>
  </conditionalFormatting>
  <conditionalFormatting sqref="B40">
    <cfRule type="duplicateValues" dxfId="288" priority="3897" stopIfTrue="1"/>
    <cfRule type="duplicateValues" dxfId="287" priority="3898"/>
  </conditionalFormatting>
  <conditionalFormatting sqref="B40">
    <cfRule type="duplicateValues" dxfId="286" priority="3896"/>
  </conditionalFormatting>
  <conditionalFormatting sqref="B40">
    <cfRule type="duplicateValues" dxfId="285" priority="3894" stopIfTrue="1"/>
    <cfRule type="duplicateValues" dxfId="284" priority="3895"/>
  </conditionalFormatting>
  <conditionalFormatting sqref="B40">
    <cfRule type="duplicateValues" dxfId="283" priority="3893"/>
  </conditionalFormatting>
  <conditionalFormatting sqref="B40">
    <cfRule type="duplicateValues" dxfId="282" priority="3892"/>
  </conditionalFormatting>
  <conditionalFormatting sqref="B40">
    <cfRule type="duplicateValues" dxfId="281" priority="3891"/>
  </conditionalFormatting>
  <conditionalFormatting sqref="B40">
    <cfRule type="duplicateValues" dxfId="280" priority="3890"/>
  </conditionalFormatting>
  <conditionalFormatting sqref="B40">
    <cfRule type="duplicateValues" dxfId="279" priority="3889"/>
  </conditionalFormatting>
  <conditionalFormatting sqref="B40">
    <cfRule type="duplicateValues" dxfId="278" priority="3888"/>
  </conditionalFormatting>
  <conditionalFormatting sqref="B40">
    <cfRule type="duplicateValues" dxfId="277" priority="3887"/>
  </conditionalFormatting>
  <conditionalFormatting sqref="B40">
    <cfRule type="duplicateValues" dxfId="276" priority="3886"/>
  </conditionalFormatting>
  <conditionalFormatting sqref="B40">
    <cfRule type="duplicateValues" dxfId="275" priority="3885"/>
  </conditionalFormatting>
  <conditionalFormatting sqref="B40">
    <cfRule type="duplicateValues" dxfId="274" priority="3884"/>
  </conditionalFormatting>
  <conditionalFormatting sqref="B40">
    <cfRule type="duplicateValues" dxfId="273" priority="3882" stopIfTrue="1"/>
    <cfRule type="duplicateValues" dxfId="272" priority="3883"/>
  </conditionalFormatting>
  <conditionalFormatting sqref="B40">
    <cfRule type="duplicateValues" dxfId="271" priority="3881"/>
  </conditionalFormatting>
  <conditionalFormatting sqref="B40">
    <cfRule type="duplicateValues" dxfId="270" priority="3880"/>
  </conditionalFormatting>
  <conditionalFormatting sqref="B40">
    <cfRule type="duplicateValues" dxfId="269" priority="3878" stopIfTrue="1"/>
    <cfRule type="duplicateValues" dxfId="268" priority="3879"/>
  </conditionalFormatting>
  <conditionalFormatting sqref="B40">
    <cfRule type="duplicateValues" dxfId="267" priority="3877"/>
  </conditionalFormatting>
  <conditionalFormatting sqref="B40">
    <cfRule type="duplicateValues" dxfId="266" priority="3875" stopIfTrue="1"/>
    <cfRule type="duplicateValues" dxfId="265" priority="3876"/>
  </conditionalFormatting>
  <conditionalFormatting sqref="B40">
    <cfRule type="duplicateValues" dxfId="264" priority="3874"/>
  </conditionalFormatting>
  <conditionalFormatting sqref="B40">
    <cfRule type="duplicateValues" dxfId="263" priority="3872" stopIfTrue="1"/>
    <cfRule type="duplicateValues" dxfId="262" priority="3873"/>
  </conditionalFormatting>
  <conditionalFormatting sqref="B40">
    <cfRule type="duplicateValues" dxfId="261" priority="3871"/>
  </conditionalFormatting>
  <conditionalFormatting sqref="B40">
    <cfRule type="duplicateValues" dxfId="260" priority="3870"/>
  </conditionalFormatting>
  <conditionalFormatting sqref="B40">
    <cfRule type="duplicateValues" dxfId="259" priority="3869"/>
  </conditionalFormatting>
  <conditionalFormatting sqref="B40">
    <cfRule type="duplicateValues" dxfId="258" priority="3868"/>
  </conditionalFormatting>
  <conditionalFormatting sqref="B40">
    <cfRule type="duplicateValues" dxfId="257" priority="3867"/>
  </conditionalFormatting>
  <conditionalFormatting sqref="B40">
    <cfRule type="duplicateValues" dxfId="256" priority="3866"/>
  </conditionalFormatting>
  <conditionalFormatting sqref="B40">
    <cfRule type="duplicateValues" dxfId="255" priority="3865"/>
  </conditionalFormatting>
  <conditionalFormatting sqref="B40">
    <cfRule type="duplicateValues" dxfId="254" priority="3864"/>
  </conditionalFormatting>
  <conditionalFormatting sqref="B40">
    <cfRule type="duplicateValues" dxfId="253" priority="3863"/>
  </conditionalFormatting>
  <conditionalFormatting sqref="B40">
    <cfRule type="duplicateValues" dxfId="252" priority="3861" stopIfTrue="1"/>
    <cfRule type="duplicateValues" dxfId="251" priority="3862"/>
  </conditionalFormatting>
  <conditionalFormatting sqref="B40">
    <cfRule type="duplicateValues" dxfId="250" priority="3860"/>
  </conditionalFormatting>
  <conditionalFormatting sqref="B40">
    <cfRule type="duplicateValues" dxfId="249" priority="3858" stopIfTrue="1"/>
    <cfRule type="duplicateValues" dxfId="248" priority="3859"/>
  </conditionalFormatting>
  <conditionalFormatting sqref="B40">
    <cfRule type="duplicateValues" dxfId="247" priority="3857"/>
  </conditionalFormatting>
  <conditionalFormatting sqref="B40">
    <cfRule type="duplicateValues" dxfId="246" priority="3856"/>
  </conditionalFormatting>
  <conditionalFormatting sqref="B40">
    <cfRule type="duplicateValues" dxfId="245" priority="3854" stopIfTrue="1"/>
    <cfRule type="duplicateValues" dxfId="244" priority="3855"/>
  </conditionalFormatting>
  <conditionalFormatting sqref="B40">
    <cfRule type="duplicateValues" dxfId="243" priority="3853"/>
  </conditionalFormatting>
  <conditionalFormatting sqref="B40">
    <cfRule type="duplicateValues" dxfId="242" priority="3851" stopIfTrue="1"/>
    <cfRule type="duplicateValues" dxfId="241" priority="3852"/>
  </conditionalFormatting>
  <conditionalFormatting sqref="B40">
    <cfRule type="duplicateValues" dxfId="240" priority="3850"/>
  </conditionalFormatting>
  <conditionalFormatting sqref="B40">
    <cfRule type="duplicateValues" dxfId="239" priority="3849"/>
  </conditionalFormatting>
  <conditionalFormatting sqref="B40">
    <cfRule type="duplicateValues" dxfId="238" priority="3847" stopIfTrue="1"/>
    <cfRule type="duplicateValues" dxfId="237" priority="3848"/>
  </conditionalFormatting>
  <conditionalFormatting sqref="B40">
    <cfRule type="duplicateValues" dxfId="236" priority="3846"/>
  </conditionalFormatting>
  <conditionalFormatting sqref="B40">
    <cfRule type="duplicateValues" dxfId="235" priority="3844" stopIfTrue="1"/>
    <cfRule type="duplicateValues" dxfId="234" priority="3845"/>
  </conditionalFormatting>
  <conditionalFormatting sqref="B40">
    <cfRule type="duplicateValues" dxfId="233" priority="3843"/>
  </conditionalFormatting>
  <conditionalFormatting sqref="B40">
    <cfRule type="duplicateValues" dxfId="232" priority="3842"/>
  </conditionalFormatting>
  <conditionalFormatting sqref="B40">
    <cfRule type="duplicateValues" dxfId="231" priority="3840" stopIfTrue="1"/>
    <cfRule type="duplicateValues" dxfId="230" priority="3841"/>
  </conditionalFormatting>
  <conditionalFormatting sqref="B40">
    <cfRule type="duplicateValues" dxfId="229" priority="3839"/>
  </conditionalFormatting>
  <conditionalFormatting sqref="B40">
    <cfRule type="duplicateValues" dxfId="228" priority="3837" stopIfTrue="1"/>
    <cfRule type="duplicateValues" dxfId="227" priority="3838"/>
  </conditionalFormatting>
  <conditionalFormatting sqref="B40">
    <cfRule type="duplicateValues" dxfId="226" priority="3836"/>
  </conditionalFormatting>
  <conditionalFormatting sqref="B40">
    <cfRule type="duplicateValues" dxfId="225" priority="3835"/>
  </conditionalFormatting>
  <conditionalFormatting sqref="B40">
    <cfRule type="duplicateValues" dxfId="224" priority="3833" stopIfTrue="1"/>
    <cfRule type="duplicateValues" dxfId="223" priority="3834"/>
  </conditionalFormatting>
  <conditionalFormatting sqref="B40">
    <cfRule type="duplicateValues" dxfId="222" priority="3832"/>
  </conditionalFormatting>
  <conditionalFormatting sqref="B40">
    <cfRule type="duplicateValues" dxfId="221" priority="3830" stopIfTrue="1"/>
    <cfRule type="duplicateValues" dxfId="220" priority="3831"/>
  </conditionalFormatting>
  <conditionalFormatting sqref="B40">
    <cfRule type="duplicateValues" dxfId="219" priority="3829"/>
  </conditionalFormatting>
  <conditionalFormatting sqref="B40">
    <cfRule type="duplicateValues" dxfId="218" priority="3828"/>
  </conditionalFormatting>
  <conditionalFormatting sqref="B40">
    <cfRule type="duplicateValues" dxfId="217" priority="3826" stopIfTrue="1"/>
    <cfRule type="duplicateValues" dxfId="216" priority="3827"/>
  </conditionalFormatting>
  <conditionalFormatting sqref="B40">
    <cfRule type="duplicateValues" dxfId="215" priority="3825"/>
  </conditionalFormatting>
  <conditionalFormatting sqref="B40">
    <cfRule type="duplicateValues" dxfId="214" priority="3823" stopIfTrue="1"/>
    <cfRule type="duplicateValues" dxfId="213" priority="3824"/>
  </conditionalFormatting>
  <conditionalFormatting sqref="B40">
    <cfRule type="duplicateValues" dxfId="212" priority="3822"/>
  </conditionalFormatting>
  <conditionalFormatting sqref="B40">
    <cfRule type="duplicateValues" dxfId="211" priority="3821"/>
  </conditionalFormatting>
  <conditionalFormatting sqref="B40">
    <cfRule type="duplicateValues" dxfId="210" priority="3819" stopIfTrue="1"/>
    <cfRule type="duplicateValues" dxfId="209" priority="3820"/>
  </conditionalFormatting>
  <conditionalFormatting sqref="B40">
    <cfRule type="duplicateValues" dxfId="208" priority="3818"/>
  </conditionalFormatting>
  <conditionalFormatting sqref="B40">
    <cfRule type="duplicateValues" dxfId="207" priority="3816" stopIfTrue="1"/>
    <cfRule type="duplicateValues" dxfId="206" priority="3817"/>
  </conditionalFormatting>
  <conditionalFormatting sqref="B40">
    <cfRule type="duplicateValues" dxfId="205" priority="3815"/>
  </conditionalFormatting>
  <conditionalFormatting sqref="B40">
    <cfRule type="duplicateValues" dxfId="204" priority="3814"/>
  </conditionalFormatting>
  <conditionalFormatting sqref="B40">
    <cfRule type="duplicateValues" dxfId="203" priority="3812" stopIfTrue="1"/>
    <cfRule type="duplicateValues" dxfId="202" priority="3813"/>
  </conditionalFormatting>
  <conditionalFormatting sqref="B40">
    <cfRule type="duplicateValues" dxfId="201" priority="3811"/>
  </conditionalFormatting>
  <conditionalFormatting sqref="B40">
    <cfRule type="duplicateValues" dxfId="200" priority="3809" stopIfTrue="1"/>
    <cfRule type="duplicateValues" dxfId="199" priority="3810"/>
  </conditionalFormatting>
  <conditionalFormatting sqref="B40">
    <cfRule type="duplicateValues" dxfId="198" priority="3808"/>
  </conditionalFormatting>
  <conditionalFormatting sqref="B40">
    <cfRule type="duplicateValues" dxfId="197" priority="3807"/>
  </conditionalFormatting>
  <conditionalFormatting sqref="C26">
    <cfRule type="duplicateValues" dxfId="196" priority="3774"/>
  </conditionalFormatting>
  <conditionalFormatting sqref="C26">
    <cfRule type="duplicateValues" dxfId="195" priority="3772" stopIfTrue="1"/>
    <cfRule type="duplicateValues" dxfId="194" priority="3773"/>
  </conditionalFormatting>
  <conditionalFormatting sqref="C32">
    <cfRule type="duplicateValues" dxfId="193" priority="8766"/>
  </conditionalFormatting>
  <conditionalFormatting sqref="C28 C32">
    <cfRule type="duplicateValues" dxfId="192" priority="8767"/>
  </conditionalFormatting>
  <conditionalFormatting sqref="C32">
    <cfRule type="duplicateValues" dxfId="191" priority="8769" stopIfTrue="1"/>
    <cfRule type="duplicateValues" dxfId="190" priority="8770"/>
  </conditionalFormatting>
  <conditionalFormatting sqref="C28 C32">
    <cfRule type="duplicateValues" dxfId="189" priority="8771" stopIfTrue="1"/>
    <cfRule type="duplicateValues" dxfId="188" priority="8772"/>
  </conditionalFormatting>
  <conditionalFormatting sqref="C27:C28 C32">
    <cfRule type="duplicateValues" dxfId="187" priority="8775"/>
  </conditionalFormatting>
  <conditionalFormatting sqref="J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">
    <cfRule type="duplicateValues" dxfId="186" priority="49"/>
  </conditionalFormatting>
  <conditionalFormatting sqref="G7">
    <cfRule type="duplicateValues" dxfId="185" priority="48"/>
  </conditionalFormatting>
  <conditionalFormatting sqref="G7">
    <cfRule type="duplicateValues" dxfId="184" priority="47"/>
  </conditionalFormatting>
  <conditionalFormatting sqref="G7">
    <cfRule type="duplicateValues" dxfId="183" priority="46"/>
  </conditionalFormatting>
  <conditionalFormatting sqref="G7">
    <cfRule type="duplicateValues" dxfId="182" priority="45"/>
  </conditionalFormatting>
  <conditionalFormatting sqref="G7">
    <cfRule type="duplicateValues" dxfId="181" priority="44"/>
  </conditionalFormatting>
  <conditionalFormatting sqref="G7">
    <cfRule type="duplicateValues" dxfId="180" priority="43"/>
  </conditionalFormatting>
  <conditionalFormatting sqref="G7">
    <cfRule type="duplicateValues" dxfId="179" priority="42"/>
  </conditionalFormatting>
  <conditionalFormatting sqref="G7">
    <cfRule type="duplicateValues" dxfId="178" priority="41"/>
  </conditionalFormatting>
  <conditionalFormatting sqref="G7">
    <cfRule type="duplicateValues" dxfId="177" priority="40"/>
  </conditionalFormatting>
  <conditionalFormatting sqref="G7">
    <cfRule type="duplicateValues" dxfId="176" priority="39"/>
  </conditionalFormatting>
  <conditionalFormatting sqref="G7">
    <cfRule type="duplicateValues" dxfId="175" priority="38"/>
  </conditionalFormatting>
  <conditionalFormatting sqref="G7">
    <cfRule type="duplicateValues" dxfId="174" priority="37"/>
  </conditionalFormatting>
  <conditionalFormatting sqref="G7">
    <cfRule type="duplicateValues" dxfId="173" priority="36"/>
  </conditionalFormatting>
  <conditionalFormatting sqref="G7">
    <cfRule type="duplicateValues" dxfId="172" priority="35"/>
  </conditionalFormatting>
  <conditionalFormatting sqref="G7">
    <cfRule type="duplicateValues" dxfId="171" priority="34"/>
  </conditionalFormatting>
  <conditionalFormatting sqref="G7">
    <cfRule type="duplicateValues" dxfId="170" priority="33"/>
  </conditionalFormatting>
  <conditionalFormatting sqref="G7">
    <cfRule type="duplicateValues" dxfId="169" priority="32"/>
  </conditionalFormatting>
  <conditionalFormatting sqref="G7">
    <cfRule type="duplicateValues" dxfId="168" priority="31"/>
  </conditionalFormatting>
  <conditionalFormatting sqref="G7">
    <cfRule type="duplicateValues" dxfId="167" priority="30"/>
  </conditionalFormatting>
  <conditionalFormatting sqref="G7">
    <cfRule type="duplicateValues" dxfId="166" priority="29"/>
  </conditionalFormatting>
  <conditionalFormatting sqref="G7">
    <cfRule type="duplicateValues" dxfId="165" priority="28"/>
  </conditionalFormatting>
  <conditionalFormatting sqref="G7">
    <cfRule type="duplicateValues" dxfId="164" priority="27"/>
  </conditionalFormatting>
  <conditionalFormatting sqref="G7">
    <cfRule type="duplicateValues" dxfId="163" priority="26"/>
  </conditionalFormatting>
  <conditionalFormatting sqref="B16">
    <cfRule type="duplicateValues" dxfId="162" priority="25"/>
  </conditionalFormatting>
  <conditionalFormatting sqref="B16">
    <cfRule type="duplicateValues" dxfId="161" priority="24"/>
  </conditionalFormatting>
  <conditionalFormatting sqref="B16">
    <cfRule type="duplicateValues" dxfId="160" priority="23"/>
  </conditionalFormatting>
  <conditionalFormatting sqref="B16">
    <cfRule type="duplicateValues" dxfId="159" priority="22"/>
  </conditionalFormatting>
  <conditionalFormatting sqref="B16">
    <cfRule type="duplicateValues" dxfId="158" priority="21"/>
  </conditionalFormatting>
  <conditionalFormatting sqref="B36:B37">
    <cfRule type="duplicateValues" dxfId="157" priority="20"/>
  </conditionalFormatting>
  <conditionalFormatting sqref="B36:B37">
    <cfRule type="duplicateValues" dxfId="156" priority="19"/>
  </conditionalFormatting>
  <conditionalFormatting sqref="B36:B37">
    <cfRule type="duplicateValues" dxfId="155" priority="18"/>
  </conditionalFormatting>
  <conditionalFormatting sqref="B36:B37">
    <cfRule type="duplicateValues" dxfId="154" priority="17"/>
  </conditionalFormatting>
  <conditionalFormatting sqref="B36:B37">
    <cfRule type="duplicateValues" dxfId="153" priority="16"/>
  </conditionalFormatting>
  <conditionalFormatting sqref="B36:B37">
    <cfRule type="duplicateValues" dxfId="152" priority="15"/>
  </conditionalFormatting>
  <conditionalFormatting sqref="B36:B37">
    <cfRule type="duplicateValues" dxfId="151" priority="14"/>
  </conditionalFormatting>
  <conditionalFormatting sqref="B36:B37">
    <cfRule type="duplicateValues" dxfId="150" priority="13"/>
  </conditionalFormatting>
  <conditionalFormatting sqref="B36:B37">
    <cfRule type="duplicateValues" dxfId="149" priority="12"/>
  </conditionalFormatting>
  <conditionalFormatting sqref="B36:B37">
    <cfRule type="duplicateValues" dxfId="148" priority="11"/>
  </conditionalFormatting>
  <conditionalFormatting sqref="B36:B37">
    <cfRule type="duplicateValues" dxfId="147" priority="10"/>
  </conditionalFormatting>
  <conditionalFormatting sqref="B36:B37">
    <cfRule type="duplicateValues" dxfId="146" priority="9"/>
  </conditionalFormatting>
  <conditionalFormatting sqref="B36:B37">
    <cfRule type="duplicateValues" dxfId="145" priority="8"/>
  </conditionalFormatting>
  <conditionalFormatting sqref="B36:B37">
    <cfRule type="duplicateValues" dxfId="144" priority="7"/>
  </conditionalFormatting>
  <conditionalFormatting sqref="B36:B37">
    <cfRule type="duplicateValues" dxfId="143" priority="6"/>
  </conditionalFormatting>
  <conditionalFormatting sqref="B36:B37">
    <cfRule type="duplicateValues" dxfId="142" priority="5"/>
  </conditionalFormatting>
  <conditionalFormatting sqref="B36:B37">
    <cfRule type="duplicateValues" dxfId="141" priority="4"/>
  </conditionalFormatting>
  <conditionalFormatting sqref="B36:B37">
    <cfRule type="duplicateValues" dxfId="140" priority="3"/>
  </conditionalFormatting>
  <conditionalFormatting sqref="B36:B37">
    <cfRule type="duplicateValues" dxfId="139" priority="2"/>
  </conditionalFormatting>
  <conditionalFormatting sqref="C19">
    <cfRule type="duplicateValues" dxfId="138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E0AA0-E7F6-446B-BC60-F03EF3F8262C}">
  <dimension ref="A1:AI76"/>
  <sheetViews>
    <sheetView zoomScale="70" zoomScaleNormal="70" workbookViewId="0">
      <selection activeCell="D28" sqref="D28"/>
    </sheetView>
  </sheetViews>
  <sheetFormatPr defaultColWidth="9.08984375" defaultRowHeight="13" x14ac:dyDescent="0.3"/>
  <cols>
    <col min="1" max="1" width="35.90625" style="65" bestFit="1" customWidth="1"/>
    <col min="2" max="2" width="6.90625" style="66" bestFit="1" customWidth="1"/>
    <col min="3" max="3" width="13" style="65" bestFit="1" customWidth="1"/>
    <col min="4" max="4" width="17.90625" style="66" bestFit="1" customWidth="1"/>
    <col min="5" max="17" width="10.6328125" style="66" customWidth="1"/>
    <col min="18" max="23" width="10.36328125" style="66" bestFit="1" customWidth="1"/>
    <col min="24" max="24" width="7.6328125" style="73" bestFit="1" customWidth="1"/>
    <col min="25" max="29" width="10.36328125" style="66" bestFit="1" customWidth="1"/>
    <col min="30" max="30" width="10.36328125" style="67" bestFit="1" customWidth="1"/>
    <col min="31" max="31" width="7.6328125" style="67" bestFit="1" customWidth="1"/>
    <col min="32" max="35" width="10.36328125" style="67" bestFit="1" customWidth="1"/>
    <col min="36" max="44" width="9.36328125" style="67" customWidth="1"/>
    <col min="45" max="134" width="10.36328125" style="67" customWidth="1"/>
    <col min="135" max="1034" width="11.36328125" style="67" customWidth="1"/>
    <col min="1035" max="10034" width="12.36328125" style="67" customWidth="1"/>
    <col min="10035" max="16384" width="13.36328125" style="67" customWidth="1"/>
  </cols>
  <sheetData>
    <row r="1" spans="1:35" x14ac:dyDescent="0.3">
      <c r="A1" s="177" t="s">
        <v>372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</row>
    <row r="2" spans="1:35" x14ac:dyDescent="0.3">
      <c r="A2" s="177"/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77"/>
    </row>
    <row r="3" spans="1:35" x14ac:dyDescent="0.3">
      <c r="A3" s="177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</row>
    <row r="4" spans="1:35" x14ac:dyDescent="0.3">
      <c r="A4" s="65" t="s">
        <v>201</v>
      </c>
      <c r="B4" s="66" t="s">
        <v>298</v>
      </c>
      <c r="C4" s="65" t="s">
        <v>200</v>
      </c>
      <c r="D4" s="66" t="s">
        <v>202</v>
      </c>
      <c r="E4" s="66" t="s">
        <v>203</v>
      </c>
      <c r="F4" s="66" t="s">
        <v>204</v>
      </c>
      <c r="G4" s="66" t="s">
        <v>205</v>
      </c>
      <c r="H4" s="66" t="s">
        <v>206</v>
      </c>
      <c r="I4" s="66" t="s">
        <v>207</v>
      </c>
      <c r="J4" s="66" t="s">
        <v>208</v>
      </c>
      <c r="K4" s="66" t="s">
        <v>209</v>
      </c>
      <c r="L4" s="66" t="s">
        <v>210</v>
      </c>
      <c r="M4" s="66" t="s">
        <v>211</v>
      </c>
      <c r="N4" s="66" t="s">
        <v>212</v>
      </c>
      <c r="O4" s="66" t="s">
        <v>213</v>
      </c>
      <c r="P4" s="66" t="s">
        <v>214</v>
      </c>
      <c r="Q4" s="66" t="s">
        <v>215</v>
      </c>
      <c r="R4" s="66" t="s">
        <v>216</v>
      </c>
      <c r="S4" s="66" t="s">
        <v>217</v>
      </c>
      <c r="T4" s="66" t="s">
        <v>218</v>
      </c>
      <c r="U4" s="66" t="s">
        <v>219</v>
      </c>
      <c r="V4" s="66" t="s">
        <v>220</v>
      </c>
      <c r="W4" s="66" t="s">
        <v>221</v>
      </c>
      <c r="X4" s="73" t="s">
        <v>222</v>
      </c>
      <c r="Y4" s="66" t="s">
        <v>223</v>
      </c>
      <c r="Z4" s="66" t="s">
        <v>224</v>
      </c>
      <c r="AA4" s="66" t="s">
        <v>225</v>
      </c>
      <c r="AB4" s="66" t="s">
        <v>226</v>
      </c>
      <c r="AC4" s="66" t="s">
        <v>227</v>
      </c>
      <c r="AD4" s="66" t="s">
        <v>228</v>
      </c>
      <c r="AE4" s="66" t="s">
        <v>229</v>
      </c>
      <c r="AF4" s="66" t="s">
        <v>230</v>
      </c>
      <c r="AG4" s="66" t="s">
        <v>231</v>
      </c>
      <c r="AH4" s="66" t="s">
        <v>232</v>
      </c>
      <c r="AI4" s="66" t="s">
        <v>233</v>
      </c>
    </row>
    <row r="5" spans="1:35" x14ac:dyDescent="0.3">
      <c r="A5" s="65" t="s">
        <v>234</v>
      </c>
      <c r="B5" s="66" t="s">
        <v>96</v>
      </c>
      <c r="C5" s="68">
        <v>45867</v>
      </c>
      <c r="D5" s="66">
        <f>COUNTA(Tabela57[[#This Row],[1]:[31]])</f>
        <v>3</v>
      </c>
      <c r="E5" s="65"/>
      <c r="I5" s="69">
        <v>45843</v>
      </c>
      <c r="J5" s="73"/>
      <c r="M5" s="73"/>
      <c r="Q5" s="73"/>
      <c r="AB5" s="69">
        <v>45862</v>
      </c>
      <c r="AG5" s="90">
        <v>45867</v>
      </c>
    </row>
    <row r="6" spans="1:35" hidden="1" x14ac:dyDescent="0.3">
      <c r="A6" s="65" t="s">
        <v>237</v>
      </c>
      <c r="B6" s="66" t="s">
        <v>299</v>
      </c>
      <c r="C6" s="68">
        <v>45861</v>
      </c>
      <c r="D6" s="66">
        <f>COUNTA(Tabela57[[#This Row],[1]:[31]])</f>
        <v>2</v>
      </c>
      <c r="F6" s="68">
        <v>45840</v>
      </c>
      <c r="J6" s="73"/>
      <c r="M6" s="73"/>
      <c r="Q6" s="73"/>
      <c r="AA6" s="69">
        <v>45861</v>
      </c>
    </row>
    <row r="7" spans="1:35" x14ac:dyDescent="0.3">
      <c r="A7" s="65" t="s">
        <v>257</v>
      </c>
      <c r="B7" s="66" t="s">
        <v>96</v>
      </c>
      <c r="C7" s="68">
        <v>45869</v>
      </c>
      <c r="D7" s="66">
        <f>COUNTA(Tabela57[[#This Row],[1]:[31]])</f>
        <v>4</v>
      </c>
      <c r="F7" s="65"/>
      <c r="J7" s="73"/>
      <c r="M7" s="73"/>
      <c r="Q7" s="73"/>
      <c r="R7" s="69">
        <v>45852</v>
      </c>
      <c r="W7" s="69">
        <v>45857</v>
      </c>
      <c r="Y7" s="69">
        <v>45859</v>
      </c>
      <c r="AI7" s="90">
        <v>45869</v>
      </c>
    </row>
    <row r="8" spans="1:35" x14ac:dyDescent="0.3">
      <c r="A8" s="65" t="s">
        <v>270</v>
      </c>
      <c r="B8" s="66" t="s">
        <v>96</v>
      </c>
      <c r="C8" s="68">
        <v>45866</v>
      </c>
      <c r="D8" s="66">
        <f>COUNTA(Tabela57[[#This Row],[1]:[31]])</f>
        <v>2</v>
      </c>
      <c r="E8" s="65"/>
      <c r="H8" s="68">
        <v>45842</v>
      </c>
      <c r="J8" s="73"/>
      <c r="M8" s="73"/>
      <c r="Q8" s="73"/>
      <c r="W8" s="69">
        <v>45857</v>
      </c>
    </row>
    <row r="9" spans="1:35" hidden="1" x14ac:dyDescent="0.3">
      <c r="A9" s="65" t="s">
        <v>269</v>
      </c>
      <c r="B9" s="66" t="s">
        <v>299</v>
      </c>
      <c r="C9" s="68">
        <v>45866</v>
      </c>
      <c r="D9" s="66">
        <f>COUNTA(Tabela57[[#This Row],[1]:[31]])</f>
        <v>1</v>
      </c>
      <c r="J9" s="73"/>
      <c r="M9" s="73"/>
      <c r="Q9" s="73"/>
      <c r="AF9" s="90">
        <v>45866</v>
      </c>
    </row>
    <row r="10" spans="1:35" x14ac:dyDescent="0.3">
      <c r="A10" s="65" t="s">
        <v>265</v>
      </c>
      <c r="B10" s="66" t="s">
        <v>96</v>
      </c>
      <c r="C10" s="68">
        <v>45869</v>
      </c>
      <c r="D10" s="66">
        <f>COUNTA(Tabela57[[#This Row],[1]:[31]])</f>
        <v>4</v>
      </c>
      <c r="F10" s="68">
        <v>45840</v>
      </c>
      <c r="J10" s="73"/>
      <c r="M10" s="73"/>
      <c r="O10" s="69">
        <v>45849</v>
      </c>
      <c r="Q10" s="73"/>
      <c r="AA10" s="69">
        <v>45861</v>
      </c>
      <c r="AI10" s="90">
        <v>45869</v>
      </c>
    </row>
    <row r="11" spans="1:35" hidden="1" x14ac:dyDescent="0.3">
      <c r="A11" s="65" t="s">
        <v>274</v>
      </c>
      <c r="B11" s="66" t="s">
        <v>299</v>
      </c>
      <c r="D11" s="66">
        <f>COUNTA(Tabela57[[#This Row],[1]:[31]])</f>
        <v>0</v>
      </c>
      <c r="J11" s="73"/>
      <c r="M11" s="73"/>
      <c r="Q11" s="73"/>
    </row>
    <row r="12" spans="1:35" x14ac:dyDescent="0.3">
      <c r="A12" s="65" t="s">
        <v>273</v>
      </c>
      <c r="B12" s="66" t="s">
        <v>96</v>
      </c>
      <c r="C12" s="68">
        <v>45868</v>
      </c>
      <c r="D12" s="66">
        <f>COUNTA(Tabela57[[#This Row],[1]:[31]])</f>
        <v>3</v>
      </c>
      <c r="F12" s="68">
        <v>45840</v>
      </c>
      <c r="J12" s="73"/>
      <c r="M12" s="73"/>
      <c r="Q12" s="73"/>
      <c r="U12" s="69">
        <v>45855</v>
      </c>
      <c r="AH12" s="90">
        <v>45868</v>
      </c>
    </row>
    <row r="13" spans="1:35" hidden="1" x14ac:dyDescent="0.3">
      <c r="A13" s="65" t="s">
        <v>253</v>
      </c>
      <c r="B13" s="66" t="s">
        <v>299</v>
      </c>
      <c r="C13" s="68">
        <v>45864</v>
      </c>
      <c r="D13" s="66">
        <f>COUNTA(Tabela57[[#This Row],[1]:[31]])</f>
        <v>3</v>
      </c>
      <c r="J13" s="73"/>
      <c r="M13" s="73"/>
      <c r="Q13" s="73"/>
      <c r="AA13" s="69">
        <v>45861</v>
      </c>
      <c r="AC13" s="69">
        <v>45863</v>
      </c>
      <c r="AD13" s="90">
        <v>45864</v>
      </c>
    </row>
    <row r="14" spans="1:35" hidden="1" x14ac:dyDescent="0.3">
      <c r="A14" s="65" t="s">
        <v>258</v>
      </c>
      <c r="B14" s="66" t="s">
        <v>299</v>
      </c>
      <c r="C14" s="68">
        <v>45854</v>
      </c>
      <c r="D14" s="66">
        <f>COUNTA(Tabela57[[#This Row],[1]:[31]])</f>
        <v>1</v>
      </c>
      <c r="J14" s="73"/>
      <c r="M14" s="73"/>
      <c r="Q14" s="73"/>
      <c r="T14" s="69">
        <v>45854</v>
      </c>
    </row>
    <row r="15" spans="1:35" hidden="1" x14ac:dyDescent="0.3">
      <c r="A15" s="65" t="s">
        <v>277</v>
      </c>
      <c r="B15" s="66" t="s">
        <v>299</v>
      </c>
      <c r="C15" s="68">
        <v>45848</v>
      </c>
      <c r="D15" s="66">
        <f>COUNTA(Tabela57[[#This Row],[1]:[31]])</f>
        <v>2</v>
      </c>
      <c r="F15" s="65"/>
      <c r="I15" s="69">
        <v>45843</v>
      </c>
      <c r="J15" s="73"/>
      <c r="M15" s="73"/>
      <c r="N15" s="69">
        <v>45848</v>
      </c>
      <c r="Q15" s="73"/>
    </row>
    <row r="16" spans="1:35" hidden="1" x14ac:dyDescent="0.3">
      <c r="A16" s="65" t="s">
        <v>262</v>
      </c>
      <c r="B16" s="66" t="s">
        <v>299</v>
      </c>
      <c r="D16" s="66">
        <f>COUNTA(Tabela57[[#This Row],[1]:[31]])</f>
        <v>0</v>
      </c>
      <c r="J16" s="73"/>
      <c r="M16" s="73"/>
      <c r="Q16" s="73"/>
    </row>
    <row r="17" spans="1:34" x14ac:dyDescent="0.3">
      <c r="A17" s="65" t="s">
        <v>267</v>
      </c>
      <c r="B17" s="66" t="s">
        <v>96</v>
      </c>
      <c r="C17" s="68">
        <v>45867</v>
      </c>
      <c r="D17" s="66">
        <f>COUNTA(Tabela57[[#This Row],[1]:[31]])</f>
        <v>3</v>
      </c>
      <c r="E17" s="65"/>
      <c r="I17" s="69">
        <v>45843</v>
      </c>
      <c r="J17" s="73"/>
      <c r="M17" s="73"/>
      <c r="Q17" s="73"/>
      <c r="AA17" s="69">
        <v>45861</v>
      </c>
      <c r="AG17" s="90">
        <v>45867</v>
      </c>
    </row>
    <row r="18" spans="1:34" hidden="1" x14ac:dyDescent="0.3">
      <c r="A18" s="65" t="s">
        <v>264</v>
      </c>
      <c r="B18" s="66" t="s">
        <v>299</v>
      </c>
      <c r="C18" s="68">
        <v>45850</v>
      </c>
      <c r="D18" s="66">
        <f>COUNTA(Tabela57[[#This Row],[1]:[31]])</f>
        <v>1</v>
      </c>
      <c r="J18" s="73"/>
      <c r="M18" s="73"/>
      <c r="P18" s="69">
        <v>45850</v>
      </c>
      <c r="Q18" s="73"/>
    </row>
    <row r="19" spans="1:34" hidden="1" x14ac:dyDescent="0.3">
      <c r="A19" s="65" t="s">
        <v>282</v>
      </c>
      <c r="B19" s="66" t="s">
        <v>299</v>
      </c>
      <c r="D19" s="66">
        <f>COUNTA(Tabela57[[#This Row],[1]:[31]])</f>
        <v>0</v>
      </c>
      <c r="J19" s="73"/>
      <c r="M19" s="73"/>
      <c r="Q19" s="73"/>
    </row>
    <row r="20" spans="1:34" hidden="1" x14ac:dyDescent="0.3">
      <c r="A20" s="65" t="s">
        <v>279</v>
      </c>
      <c r="B20" s="66" t="s">
        <v>299</v>
      </c>
      <c r="D20" s="66">
        <f>COUNTA(Tabela57[[#This Row],[1]:[31]])</f>
        <v>0</v>
      </c>
      <c r="J20" s="73"/>
      <c r="M20" s="73"/>
      <c r="Q20" s="73"/>
    </row>
    <row r="21" spans="1:34" hidden="1" x14ac:dyDescent="0.3">
      <c r="A21" s="65" t="s">
        <v>272</v>
      </c>
      <c r="B21" s="66" t="s">
        <v>299</v>
      </c>
      <c r="C21" s="68">
        <v>45840</v>
      </c>
      <c r="D21" s="66">
        <f>COUNTA(Tabela57[[#This Row],[1]:[31]])</f>
        <v>1</v>
      </c>
      <c r="F21" s="68">
        <v>45840</v>
      </c>
      <c r="J21" s="73"/>
      <c r="M21" s="73"/>
      <c r="Q21" s="73"/>
    </row>
    <row r="22" spans="1:34" x14ac:dyDescent="0.3">
      <c r="A22" s="65" t="s">
        <v>291</v>
      </c>
      <c r="B22" s="66" t="s">
        <v>96</v>
      </c>
      <c r="C22" s="68">
        <v>45868</v>
      </c>
      <c r="D22" s="66">
        <f>COUNTA(Tabela57[[#This Row],[1]:[31]])</f>
        <v>3</v>
      </c>
      <c r="E22" s="65"/>
      <c r="I22" s="69">
        <v>45843</v>
      </c>
      <c r="J22" s="73"/>
      <c r="M22" s="73"/>
      <c r="Q22" s="73"/>
      <c r="AA22" s="69">
        <v>45861</v>
      </c>
      <c r="AH22" s="90">
        <v>45868</v>
      </c>
    </row>
    <row r="23" spans="1:34" x14ac:dyDescent="0.3">
      <c r="A23" s="65" t="s">
        <v>286</v>
      </c>
      <c r="B23" s="66" t="s">
        <v>96</v>
      </c>
      <c r="C23" s="68">
        <v>45856</v>
      </c>
      <c r="D23" s="66">
        <f>COUNTA(Tabela57[[#This Row],[1]:[31]])</f>
        <v>3</v>
      </c>
      <c r="E23" s="65"/>
      <c r="J23" s="73"/>
      <c r="K23" s="69">
        <v>45845</v>
      </c>
      <c r="M23" s="73"/>
      <c r="Q23" s="73"/>
      <c r="S23" s="69">
        <v>45853</v>
      </c>
      <c r="V23" s="69">
        <v>45856</v>
      </c>
    </row>
    <row r="24" spans="1:34" hidden="1" x14ac:dyDescent="0.3">
      <c r="A24" s="65" t="s">
        <v>240</v>
      </c>
      <c r="B24" s="66" t="s">
        <v>299</v>
      </c>
      <c r="C24" s="68">
        <v>45864</v>
      </c>
      <c r="D24" s="66">
        <f>COUNTA(Tabela57[[#This Row],[1]:[31]])</f>
        <v>2</v>
      </c>
      <c r="E24" s="68">
        <v>45839</v>
      </c>
      <c r="J24" s="73"/>
      <c r="M24" s="73"/>
      <c r="Q24" s="73"/>
      <c r="AD24" s="90">
        <v>45864</v>
      </c>
    </row>
    <row r="25" spans="1:34" hidden="1" x14ac:dyDescent="0.3">
      <c r="A25" s="65" t="s">
        <v>275</v>
      </c>
      <c r="B25" s="66" t="s">
        <v>299</v>
      </c>
      <c r="D25" s="66">
        <f>COUNTA(Tabela57[[#This Row],[1]:[31]])</f>
        <v>0</v>
      </c>
      <c r="J25" s="73"/>
      <c r="M25" s="73"/>
      <c r="Q25" s="73"/>
    </row>
    <row r="26" spans="1:34" x14ac:dyDescent="0.3">
      <c r="A26" s="65" t="s">
        <v>284</v>
      </c>
      <c r="B26" s="66" t="s">
        <v>96</v>
      </c>
      <c r="C26" s="68">
        <v>45866</v>
      </c>
      <c r="D26" s="66">
        <f>COUNTA(Tabela57[[#This Row],[1]:[31]])</f>
        <v>3</v>
      </c>
      <c r="F26" s="68">
        <v>45840</v>
      </c>
      <c r="J26" s="73"/>
      <c r="M26" s="73"/>
      <c r="Q26" s="73"/>
      <c r="Z26" s="69">
        <v>45860</v>
      </c>
      <c r="AF26" s="90">
        <v>45866</v>
      </c>
    </row>
    <row r="27" spans="1:34" hidden="1" x14ac:dyDescent="0.3">
      <c r="A27" s="65" t="s">
        <v>292</v>
      </c>
      <c r="B27" s="66" t="s">
        <v>299</v>
      </c>
      <c r="D27" s="66">
        <f>COUNTA(Tabela57[[#This Row],[1]:[31]])</f>
        <v>0</v>
      </c>
      <c r="J27" s="73"/>
      <c r="M27" s="73"/>
      <c r="Q27" s="73"/>
    </row>
    <row r="28" spans="1:34" x14ac:dyDescent="0.3">
      <c r="A28" s="65" t="s">
        <v>293</v>
      </c>
      <c r="B28" s="66" t="s">
        <v>96</v>
      </c>
      <c r="C28" s="68">
        <v>45863</v>
      </c>
      <c r="D28" s="66">
        <f>COUNTA(Tabela57[[#This Row],[1]:[31]])</f>
        <v>2</v>
      </c>
      <c r="J28" s="73"/>
      <c r="L28" s="69">
        <v>45846</v>
      </c>
      <c r="M28" s="73"/>
      <c r="Q28" s="73"/>
      <c r="R28" s="69">
        <v>45852</v>
      </c>
    </row>
    <row r="29" spans="1:34" x14ac:dyDescent="0.3">
      <c r="A29" s="65" t="s">
        <v>290</v>
      </c>
      <c r="B29" s="66" t="s">
        <v>96</v>
      </c>
      <c r="C29" s="68">
        <v>45867</v>
      </c>
      <c r="D29" s="66">
        <f>COUNTA(Tabela57[[#This Row],[1]:[31]])</f>
        <v>3</v>
      </c>
      <c r="F29" s="68">
        <v>45840</v>
      </c>
      <c r="J29" s="73"/>
      <c r="M29" s="73"/>
      <c r="Q29" s="73"/>
      <c r="AA29" s="69">
        <v>45861</v>
      </c>
      <c r="AG29" s="90">
        <v>45867</v>
      </c>
    </row>
    <row r="30" spans="1:34" hidden="1" x14ac:dyDescent="0.3">
      <c r="A30" s="65" t="s">
        <v>241</v>
      </c>
      <c r="B30" s="66" t="s">
        <v>299</v>
      </c>
      <c r="D30" s="66">
        <f>COUNTA(Tabela57[[#This Row],[1]:[31]])</f>
        <v>0</v>
      </c>
      <c r="J30" s="73"/>
      <c r="M30" s="73"/>
      <c r="Q30" s="73"/>
    </row>
    <row r="31" spans="1:34" x14ac:dyDescent="0.3">
      <c r="A31" s="65" t="s">
        <v>250</v>
      </c>
      <c r="B31" s="66" t="s">
        <v>96</v>
      </c>
      <c r="C31" s="68">
        <v>45860</v>
      </c>
      <c r="D31" s="66">
        <f>COUNTA(Tabela57[[#This Row],[1]:[31]])</f>
        <v>3</v>
      </c>
      <c r="F31" s="68">
        <v>45840</v>
      </c>
      <c r="J31" s="73"/>
      <c r="M31" s="73"/>
      <c r="Q31" s="73"/>
      <c r="Y31" s="69">
        <v>45859</v>
      </c>
      <c r="Z31" s="69">
        <v>45860</v>
      </c>
    </row>
    <row r="32" spans="1:34" x14ac:dyDescent="0.3">
      <c r="A32" s="65" t="s">
        <v>288</v>
      </c>
      <c r="B32" s="66" t="s">
        <v>96</v>
      </c>
      <c r="C32" s="68">
        <v>45866</v>
      </c>
      <c r="D32" s="66">
        <f>COUNTA(Tabela57[[#This Row],[1]:[31]])</f>
        <v>2</v>
      </c>
      <c r="F32" s="65"/>
      <c r="J32" s="73"/>
      <c r="M32" s="73"/>
      <c r="Q32" s="73"/>
      <c r="R32" s="69">
        <v>45852</v>
      </c>
      <c r="AF32" s="90">
        <v>45866</v>
      </c>
    </row>
    <row r="33" spans="1:35" hidden="1" x14ac:dyDescent="0.3">
      <c r="A33" s="65" t="s">
        <v>242</v>
      </c>
      <c r="B33" s="66" t="s">
        <v>299</v>
      </c>
      <c r="D33" s="66">
        <f>COUNTA(Tabela57[[#This Row],[1]:[31]])</f>
        <v>0</v>
      </c>
      <c r="E33" s="65"/>
      <c r="J33" s="73"/>
      <c r="M33" s="73"/>
      <c r="Q33" s="73"/>
    </row>
    <row r="34" spans="1:35" x14ac:dyDescent="0.3">
      <c r="A34" s="65" t="s">
        <v>276</v>
      </c>
      <c r="B34" s="66" t="s">
        <v>96</v>
      </c>
      <c r="C34" s="68">
        <v>45867</v>
      </c>
      <c r="D34" s="66">
        <f>COUNTA(Tabela57[[#This Row],[1]:[31]])</f>
        <v>3</v>
      </c>
      <c r="E34" s="68">
        <v>45839</v>
      </c>
      <c r="J34" s="73"/>
      <c r="M34" s="73"/>
      <c r="Q34" s="73"/>
      <c r="U34" s="69">
        <v>45855</v>
      </c>
      <c r="AG34" s="90">
        <v>45867</v>
      </c>
    </row>
    <row r="35" spans="1:35" x14ac:dyDescent="0.3">
      <c r="A35" s="65" t="s">
        <v>280</v>
      </c>
      <c r="B35" s="66" t="s">
        <v>96</v>
      </c>
      <c r="C35" s="68">
        <v>45867</v>
      </c>
      <c r="D35" s="66">
        <f>COUNTA(Tabela57[[#This Row],[1]:[31]])</f>
        <v>3</v>
      </c>
      <c r="E35" s="68">
        <v>45839</v>
      </c>
      <c r="J35" s="73"/>
      <c r="M35" s="73"/>
      <c r="N35" s="69"/>
      <c r="Q35" s="73"/>
      <c r="T35" s="69">
        <v>45854</v>
      </c>
      <c r="AG35" s="90">
        <v>45867</v>
      </c>
    </row>
    <row r="36" spans="1:35" hidden="1" x14ac:dyDescent="0.3">
      <c r="A36" s="65" t="s">
        <v>289</v>
      </c>
      <c r="B36" s="66" t="s">
        <v>299</v>
      </c>
      <c r="C36" s="68">
        <v>45860</v>
      </c>
      <c r="D36" s="66">
        <f>COUNTA(Tabela57[[#This Row],[1]:[31]])</f>
        <v>3</v>
      </c>
      <c r="E36" s="68">
        <v>45839</v>
      </c>
      <c r="J36" s="73"/>
      <c r="K36" s="69">
        <v>45845</v>
      </c>
      <c r="M36" s="73"/>
      <c r="Q36" s="73"/>
      <c r="Z36" s="69">
        <v>45860</v>
      </c>
    </row>
    <row r="37" spans="1:35" hidden="1" x14ac:dyDescent="0.3">
      <c r="A37" s="65" t="s">
        <v>239</v>
      </c>
      <c r="B37" s="66" t="s">
        <v>299</v>
      </c>
      <c r="C37" s="68">
        <v>45861</v>
      </c>
      <c r="D37" s="66">
        <f>COUNTA(Tabela57[[#This Row],[1]:[31]])</f>
        <v>2</v>
      </c>
      <c r="J37" s="73"/>
      <c r="K37" s="69">
        <v>45845</v>
      </c>
      <c r="M37" s="73"/>
      <c r="Q37" s="73"/>
      <c r="AA37" s="69">
        <v>45861</v>
      </c>
    </row>
    <row r="38" spans="1:35" hidden="1" x14ac:dyDescent="0.3">
      <c r="A38" s="65" t="s">
        <v>235</v>
      </c>
      <c r="B38" s="66" t="s">
        <v>299</v>
      </c>
      <c r="C38" s="68">
        <v>45842</v>
      </c>
      <c r="D38" s="66">
        <f>COUNTA(Tabela57[[#This Row],[1]:[31]])</f>
        <v>1</v>
      </c>
      <c r="H38" s="68">
        <v>45842</v>
      </c>
      <c r="J38" s="73"/>
      <c r="M38" s="73"/>
      <c r="Q38" s="73"/>
    </row>
    <row r="39" spans="1:35" hidden="1" x14ac:dyDescent="0.3">
      <c r="A39" s="65" t="s">
        <v>261</v>
      </c>
      <c r="B39" s="66" t="s">
        <v>299</v>
      </c>
      <c r="C39" s="68">
        <v>45843</v>
      </c>
      <c r="D39" s="66">
        <f>COUNTA(Tabela57[[#This Row],[1]:[31]])</f>
        <v>1</v>
      </c>
      <c r="H39" s="65"/>
      <c r="I39" s="69">
        <v>45843</v>
      </c>
      <c r="J39" s="73"/>
      <c r="M39" s="73"/>
      <c r="Q39" s="73"/>
    </row>
    <row r="40" spans="1:35" hidden="1" x14ac:dyDescent="0.3">
      <c r="A40" s="65" t="s">
        <v>256</v>
      </c>
      <c r="B40" s="66" t="s">
        <v>299</v>
      </c>
      <c r="C40" s="68">
        <v>45856</v>
      </c>
      <c r="D40" s="66">
        <f>COUNTA(Tabela57[[#This Row],[1]:[31]])</f>
        <v>2</v>
      </c>
      <c r="E40" s="65"/>
      <c r="H40" s="68">
        <v>45842</v>
      </c>
      <c r="J40" s="73"/>
      <c r="M40" s="73"/>
      <c r="Q40" s="73"/>
      <c r="V40" s="69">
        <v>45856</v>
      </c>
    </row>
    <row r="41" spans="1:35" hidden="1" x14ac:dyDescent="0.3">
      <c r="A41" s="65" t="s">
        <v>259</v>
      </c>
      <c r="B41" s="66" t="s">
        <v>299</v>
      </c>
      <c r="C41" s="68">
        <v>45864</v>
      </c>
      <c r="D41" s="66">
        <f>COUNTA(Tabela57[[#This Row],[1]:[31]])</f>
        <v>1</v>
      </c>
      <c r="E41" s="65"/>
      <c r="H41" s="65"/>
      <c r="J41" s="73"/>
      <c r="M41" s="73"/>
      <c r="Q41" s="73"/>
      <c r="AD41" s="90">
        <v>45864</v>
      </c>
    </row>
    <row r="42" spans="1:35" x14ac:dyDescent="0.3">
      <c r="A42" s="65" t="s">
        <v>294</v>
      </c>
      <c r="B42" s="66" t="s">
        <v>96</v>
      </c>
      <c r="C42" s="68">
        <v>45864</v>
      </c>
      <c r="D42" s="66">
        <f>COUNTA(Tabela57[[#This Row],[1]:[31]])</f>
        <v>3</v>
      </c>
      <c r="J42" s="73"/>
      <c r="M42" s="73"/>
      <c r="O42" s="69">
        <v>45849</v>
      </c>
      <c r="Q42" s="73"/>
      <c r="AB42" s="69">
        <v>45862</v>
      </c>
      <c r="AD42" s="90">
        <v>45864</v>
      </c>
    </row>
    <row r="43" spans="1:35" hidden="1" x14ac:dyDescent="0.3">
      <c r="A43" s="65" t="s">
        <v>285</v>
      </c>
      <c r="B43" s="66" t="s">
        <v>299</v>
      </c>
      <c r="C43" s="68">
        <v>45841</v>
      </c>
      <c r="D43" s="66">
        <f>COUNTA(Tabela57[[#This Row],[1]:[31]])</f>
        <v>2</v>
      </c>
      <c r="F43" s="68">
        <v>45840</v>
      </c>
      <c r="G43" s="69">
        <v>45841</v>
      </c>
      <c r="J43" s="73"/>
      <c r="M43" s="73"/>
      <c r="Q43" s="73"/>
    </row>
    <row r="44" spans="1:35" x14ac:dyDescent="0.3">
      <c r="A44" s="65" t="s">
        <v>247</v>
      </c>
      <c r="B44" s="66" t="s">
        <v>96</v>
      </c>
      <c r="C44" s="68">
        <v>45869</v>
      </c>
      <c r="D44" s="66">
        <f>COUNTA(Tabela57[[#This Row],[1]:[31]])</f>
        <v>4</v>
      </c>
      <c r="H44" s="65"/>
      <c r="I44" s="69">
        <v>45843</v>
      </c>
      <c r="J44" s="73"/>
      <c r="M44" s="73"/>
      <c r="Q44" s="73"/>
      <c r="V44" s="69">
        <v>45856</v>
      </c>
      <c r="AF44" s="90">
        <v>45866</v>
      </c>
      <c r="AI44" s="90">
        <v>45869</v>
      </c>
    </row>
    <row r="45" spans="1:35" x14ac:dyDescent="0.3">
      <c r="A45" s="65" t="s">
        <v>266</v>
      </c>
      <c r="B45" s="66" t="s">
        <v>96</v>
      </c>
      <c r="C45" s="68">
        <v>45864</v>
      </c>
      <c r="D45" s="66">
        <f>COUNTA(Tabela57[[#This Row],[1]:[31]])</f>
        <v>3</v>
      </c>
      <c r="E45" s="65"/>
      <c r="H45" s="68">
        <v>45842</v>
      </c>
      <c r="J45" s="73"/>
      <c r="M45" s="73"/>
      <c r="Q45" s="73"/>
      <c r="AA45" s="69">
        <v>45861</v>
      </c>
      <c r="AD45" s="90">
        <v>45864</v>
      </c>
    </row>
    <row r="46" spans="1:35" hidden="1" x14ac:dyDescent="0.3">
      <c r="A46" s="65" t="s">
        <v>283</v>
      </c>
      <c r="B46" s="66" t="s">
        <v>299</v>
      </c>
      <c r="C46" s="68">
        <v>45843</v>
      </c>
      <c r="D46" s="66">
        <f>COUNTA(Tabela57[[#This Row],[1]:[31]])</f>
        <v>1</v>
      </c>
      <c r="I46" s="69">
        <v>45843</v>
      </c>
      <c r="J46" s="73"/>
      <c r="M46" s="73"/>
      <c r="Q46" s="73"/>
    </row>
    <row r="47" spans="1:35" x14ac:dyDescent="0.3">
      <c r="A47" s="65" t="s">
        <v>252</v>
      </c>
      <c r="B47" s="66" t="s">
        <v>96</v>
      </c>
      <c r="C47" s="68">
        <v>45868</v>
      </c>
      <c r="D47" s="66">
        <f>COUNTA(Tabela57[[#This Row],[1]:[31]])</f>
        <v>5</v>
      </c>
      <c r="E47" s="68">
        <v>45839</v>
      </c>
      <c r="J47" s="73"/>
      <c r="M47" s="73"/>
      <c r="P47" s="69">
        <v>45850</v>
      </c>
      <c r="Q47" s="73"/>
      <c r="V47" s="69">
        <v>45856</v>
      </c>
      <c r="AD47" s="90">
        <v>45864</v>
      </c>
      <c r="AH47" s="90">
        <v>45868</v>
      </c>
    </row>
    <row r="48" spans="1:35" x14ac:dyDescent="0.3">
      <c r="A48" s="65" t="s">
        <v>244</v>
      </c>
      <c r="B48" s="66" t="s">
        <v>96</v>
      </c>
      <c r="C48" s="68">
        <v>45866</v>
      </c>
      <c r="D48" s="66">
        <f>COUNTA(Tabela57[[#This Row],[1]:[31]])</f>
        <v>3</v>
      </c>
      <c r="E48" s="68">
        <v>45839</v>
      </c>
      <c r="J48" s="73"/>
      <c r="L48" s="69">
        <v>45846</v>
      </c>
      <c r="M48" s="73"/>
      <c r="Q48" s="73"/>
      <c r="AF48" s="90">
        <v>45866</v>
      </c>
    </row>
    <row r="49" spans="1:35" x14ac:dyDescent="0.3">
      <c r="A49" s="65" t="s">
        <v>243</v>
      </c>
      <c r="B49" s="66" t="s">
        <v>96</v>
      </c>
      <c r="C49" s="68">
        <v>45864</v>
      </c>
      <c r="D49" s="66">
        <f>COUNTA(Tabela57[[#This Row],[1]:[31]])</f>
        <v>3</v>
      </c>
      <c r="E49" s="68">
        <v>45839</v>
      </c>
      <c r="J49" s="73"/>
      <c r="M49" s="73"/>
      <c r="Q49" s="73"/>
      <c r="R49" s="69">
        <v>45852</v>
      </c>
      <c r="AD49" s="90">
        <v>45864</v>
      </c>
    </row>
    <row r="50" spans="1:35" hidden="1" x14ac:dyDescent="0.3">
      <c r="A50" s="65" t="s">
        <v>278</v>
      </c>
      <c r="B50" s="66" t="s">
        <v>299</v>
      </c>
      <c r="D50" s="66">
        <f>COUNTA(Tabela57[[#This Row],[1]:[31]])</f>
        <v>0</v>
      </c>
      <c r="J50" s="73"/>
      <c r="M50" s="73"/>
      <c r="Q50" s="73"/>
    </row>
    <row r="51" spans="1:35" x14ac:dyDescent="0.3">
      <c r="A51" s="65" t="s">
        <v>251</v>
      </c>
      <c r="B51" s="66" t="s">
        <v>96</v>
      </c>
      <c r="C51" s="68">
        <v>45869</v>
      </c>
      <c r="D51" s="66">
        <f>COUNTA(Tabela57[[#This Row],[1]:[31]])</f>
        <v>4</v>
      </c>
      <c r="F51" s="68"/>
      <c r="G51" s="69">
        <v>45841</v>
      </c>
      <c r="J51" s="73"/>
      <c r="M51" s="73"/>
      <c r="Q51" s="73"/>
      <c r="W51" s="69">
        <v>45857</v>
      </c>
      <c r="AG51" s="90">
        <v>45867</v>
      </c>
      <c r="AI51" s="90">
        <v>45869</v>
      </c>
    </row>
    <row r="52" spans="1:35" hidden="1" x14ac:dyDescent="0.3">
      <c r="A52" s="65" t="s">
        <v>287</v>
      </c>
      <c r="B52" s="66" t="s">
        <v>299</v>
      </c>
      <c r="C52" s="68">
        <v>45864</v>
      </c>
      <c r="D52" s="66">
        <f>COUNTA(Tabela57[[#This Row],[1]:[31]])</f>
        <v>1</v>
      </c>
      <c r="J52" s="73"/>
      <c r="M52" s="73"/>
      <c r="Q52" s="73"/>
      <c r="AD52" s="90">
        <v>45864</v>
      </c>
    </row>
    <row r="53" spans="1:35" hidden="1" x14ac:dyDescent="0.3">
      <c r="A53" s="65" t="s">
        <v>245</v>
      </c>
      <c r="B53" s="66" t="s">
        <v>299</v>
      </c>
      <c r="C53" s="68">
        <v>45853</v>
      </c>
      <c r="D53" s="66">
        <f>COUNTA(Tabela57[[#This Row],[1]:[31]])</f>
        <v>1</v>
      </c>
      <c r="J53" s="73"/>
      <c r="M53" s="73"/>
      <c r="Q53" s="73"/>
      <c r="S53" s="69">
        <v>45853</v>
      </c>
    </row>
    <row r="54" spans="1:35" hidden="1" x14ac:dyDescent="0.3">
      <c r="A54" s="65" t="s">
        <v>246</v>
      </c>
      <c r="B54" s="66" t="s">
        <v>299</v>
      </c>
      <c r="D54" s="66">
        <f>COUNTA(Tabela57[[#This Row],[1]:[31]])</f>
        <v>0</v>
      </c>
      <c r="J54" s="73"/>
      <c r="M54" s="73"/>
      <c r="Q54" s="73"/>
    </row>
    <row r="55" spans="1:35" hidden="1" x14ac:dyDescent="0.3">
      <c r="A55" s="65" t="s">
        <v>268</v>
      </c>
      <c r="B55" s="66" t="s">
        <v>299</v>
      </c>
      <c r="C55" s="68">
        <v>45863</v>
      </c>
      <c r="D55" s="66">
        <f>COUNTA(Tabela57[[#This Row],[1]:[31]])</f>
        <v>0</v>
      </c>
      <c r="J55" s="73"/>
      <c r="M55" s="73"/>
      <c r="Q55" s="73"/>
    </row>
    <row r="56" spans="1:35" x14ac:dyDescent="0.3">
      <c r="A56" s="65" t="s">
        <v>296</v>
      </c>
      <c r="B56" s="66" t="s">
        <v>96</v>
      </c>
      <c r="C56" s="68">
        <v>45868</v>
      </c>
      <c r="D56" s="66">
        <f>COUNTA(Tabela57[[#This Row],[1]:[31]])</f>
        <v>3</v>
      </c>
      <c r="E56" s="65"/>
      <c r="J56" s="73"/>
      <c r="M56" s="73"/>
      <c r="N56" s="69">
        <v>45848</v>
      </c>
      <c r="Q56" s="73"/>
      <c r="AB56" s="69">
        <v>45862</v>
      </c>
      <c r="AH56" s="90">
        <v>45868</v>
      </c>
    </row>
    <row r="57" spans="1:35" x14ac:dyDescent="0.3">
      <c r="A57" s="65" t="s">
        <v>254</v>
      </c>
      <c r="B57" s="66" t="s">
        <v>96</v>
      </c>
      <c r="C57" s="68">
        <v>45866</v>
      </c>
      <c r="D57" s="66">
        <f>COUNTA(Tabela57[[#This Row],[1]:[31]])</f>
        <v>3</v>
      </c>
      <c r="E57" s="68">
        <v>45839</v>
      </c>
      <c r="J57" s="73"/>
      <c r="M57" s="73"/>
      <c r="Q57" s="73"/>
      <c r="U57" s="69">
        <v>45855</v>
      </c>
      <c r="AF57" s="90">
        <v>45866</v>
      </c>
    </row>
    <row r="58" spans="1:35" hidden="1" x14ac:dyDescent="0.3">
      <c r="A58" s="65" t="s">
        <v>295</v>
      </c>
      <c r="B58" s="66" t="s">
        <v>299</v>
      </c>
      <c r="C58" s="68">
        <v>45852</v>
      </c>
      <c r="D58" s="66">
        <f>COUNTA(Tabela57[[#This Row],[1]:[31]])</f>
        <v>1</v>
      </c>
      <c r="F58" s="65"/>
      <c r="J58" s="73"/>
      <c r="M58" s="73"/>
      <c r="Q58" s="73"/>
      <c r="R58" s="69">
        <v>45852</v>
      </c>
    </row>
    <row r="59" spans="1:35" hidden="1" x14ac:dyDescent="0.3">
      <c r="A59" s="65" t="s">
        <v>248</v>
      </c>
      <c r="B59" s="66" t="s">
        <v>299</v>
      </c>
      <c r="C59" s="68">
        <v>45853</v>
      </c>
      <c r="D59" s="66">
        <f>COUNTA(Tabela57[[#This Row],[1]:[31]])</f>
        <v>2</v>
      </c>
      <c r="G59" s="69">
        <v>45841</v>
      </c>
      <c r="J59" s="73"/>
      <c r="M59" s="73"/>
      <c r="Q59" s="73"/>
      <c r="S59" s="69">
        <v>45853</v>
      </c>
    </row>
    <row r="60" spans="1:35" hidden="1" x14ac:dyDescent="0.3">
      <c r="A60" s="65" t="s">
        <v>236</v>
      </c>
      <c r="B60" s="66" t="s">
        <v>299</v>
      </c>
      <c r="D60" s="66">
        <f>COUNTA(Tabela57[[#This Row],[1]:[31]])</f>
        <v>0</v>
      </c>
      <c r="F60" s="65"/>
      <c r="J60" s="73"/>
      <c r="M60" s="73"/>
      <c r="Q60" s="73"/>
    </row>
    <row r="61" spans="1:35" x14ac:dyDescent="0.3">
      <c r="A61" s="65" t="s">
        <v>260</v>
      </c>
      <c r="B61" s="66" t="s">
        <v>96</v>
      </c>
      <c r="C61" s="68">
        <v>45869</v>
      </c>
      <c r="D61" s="66">
        <f>COUNTA(Tabela57[[#This Row],[1]:[31]])</f>
        <v>3</v>
      </c>
      <c r="F61" s="65"/>
      <c r="I61" s="69">
        <v>45843</v>
      </c>
      <c r="J61" s="73"/>
      <c r="M61" s="73"/>
      <c r="Q61" s="73"/>
      <c r="Z61" s="69">
        <v>45860</v>
      </c>
      <c r="AI61" s="90">
        <v>45869</v>
      </c>
    </row>
    <row r="62" spans="1:35" hidden="1" x14ac:dyDescent="0.3">
      <c r="A62" s="65" t="s">
        <v>249</v>
      </c>
      <c r="B62" s="66" t="s">
        <v>299</v>
      </c>
      <c r="C62" s="68">
        <v>45840</v>
      </c>
      <c r="D62" s="66">
        <f>COUNTA(Tabela57[[#This Row],[1]:[31]])</f>
        <v>1</v>
      </c>
      <c r="F62" s="68">
        <v>45840</v>
      </c>
      <c r="J62" s="73"/>
      <c r="M62" s="73"/>
      <c r="Q62" s="73"/>
    </row>
    <row r="63" spans="1:35" x14ac:dyDescent="0.3">
      <c r="A63" s="65" t="s">
        <v>263</v>
      </c>
      <c r="B63" s="66" t="s">
        <v>96</v>
      </c>
      <c r="C63" s="68">
        <v>45866</v>
      </c>
      <c r="D63" s="66">
        <f>COUNTA(Tabela57[[#This Row],[1]:[31]])</f>
        <v>2</v>
      </c>
      <c r="E63" s="65"/>
      <c r="J63" s="73"/>
      <c r="M63" s="73"/>
      <c r="P63" s="69">
        <v>45850</v>
      </c>
      <c r="Q63" s="73"/>
      <c r="AF63" s="90">
        <v>45866</v>
      </c>
    </row>
    <row r="64" spans="1:35" x14ac:dyDescent="0.3">
      <c r="A64" s="65" t="s">
        <v>238</v>
      </c>
      <c r="B64" s="66" t="s">
        <v>96</v>
      </c>
      <c r="C64" s="68">
        <v>45868</v>
      </c>
      <c r="D64" s="66">
        <f>COUNTA(Tabela57[[#This Row],[1]:[31]])</f>
        <v>4</v>
      </c>
      <c r="E64" s="65"/>
      <c r="I64" s="69">
        <v>45843</v>
      </c>
      <c r="J64" s="73"/>
      <c r="M64" s="73"/>
      <c r="Q64" s="73"/>
      <c r="Y64" s="69">
        <v>45859</v>
      </c>
      <c r="AD64" s="90">
        <v>45864</v>
      </c>
      <c r="AH64" s="90">
        <v>45868</v>
      </c>
    </row>
    <row r="65" spans="1:32" hidden="1" x14ac:dyDescent="0.3">
      <c r="A65" s="65" t="s">
        <v>255</v>
      </c>
      <c r="B65" s="66" t="s">
        <v>299</v>
      </c>
      <c r="D65" s="66">
        <f>COUNTA(Tabela57[[#This Row],[1]:[31]])</f>
        <v>0</v>
      </c>
      <c r="F65" s="65"/>
      <c r="J65" s="73"/>
      <c r="M65" s="73"/>
      <c r="Q65" s="73"/>
    </row>
    <row r="66" spans="1:32" hidden="1" x14ac:dyDescent="0.3">
      <c r="A66" s="65" t="s">
        <v>305</v>
      </c>
      <c r="B66" s="66" t="s">
        <v>299</v>
      </c>
      <c r="C66" s="68">
        <v>45866</v>
      </c>
      <c r="D66" s="66">
        <f>COUNTA(Tabela57[[#This Row],[1]:[31]])</f>
        <v>3</v>
      </c>
      <c r="J66" s="73"/>
      <c r="M66" s="73"/>
      <c r="N66" s="69">
        <v>45848</v>
      </c>
      <c r="Q66" s="73"/>
      <c r="AD66" s="90">
        <v>45864</v>
      </c>
      <c r="AF66" s="90">
        <v>45866</v>
      </c>
    </row>
    <row r="67" spans="1:32" hidden="1" x14ac:dyDescent="0.3">
      <c r="A67" s="65" t="s">
        <v>281</v>
      </c>
      <c r="B67" s="66" t="s">
        <v>299</v>
      </c>
      <c r="D67" s="66">
        <f>COUNTA(Tabela57[[#This Row],[1]:[31]])</f>
        <v>0</v>
      </c>
      <c r="J67" s="73"/>
      <c r="M67" s="73"/>
      <c r="Q67" s="73"/>
    </row>
    <row r="68" spans="1:32" hidden="1" x14ac:dyDescent="0.3">
      <c r="A68" s="65" t="s">
        <v>271</v>
      </c>
      <c r="B68" s="66" t="s">
        <v>299</v>
      </c>
      <c r="C68" s="68">
        <v>45839</v>
      </c>
      <c r="D68" s="66">
        <f>COUNTA(Tabela57[[#This Row],[1]:[31]])</f>
        <v>1</v>
      </c>
      <c r="E68" s="68">
        <v>45839</v>
      </c>
      <c r="J68" s="73"/>
      <c r="M68" s="73"/>
      <c r="Q68" s="73"/>
    </row>
    <row r="69" spans="1:32" x14ac:dyDescent="0.3">
      <c r="J69" s="73"/>
      <c r="M69" s="73"/>
      <c r="Q69" s="73"/>
    </row>
    <row r="70" spans="1:32" x14ac:dyDescent="0.3">
      <c r="J70" s="73"/>
      <c r="M70" s="73"/>
      <c r="Q70" s="73"/>
    </row>
    <row r="71" spans="1:32" x14ac:dyDescent="0.3">
      <c r="J71" s="73"/>
      <c r="M71" s="73"/>
      <c r="Q71" s="73"/>
    </row>
    <row r="72" spans="1:32" x14ac:dyDescent="0.3">
      <c r="J72" s="73"/>
      <c r="M72" s="73"/>
      <c r="Q72" s="73"/>
    </row>
    <row r="73" spans="1:32" x14ac:dyDescent="0.3">
      <c r="J73" s="73"/>
      <c r="M73" s="73"/>
      <c r="Q73" s="73"/>
    </row>
    <row r="74" spans="1:32" x14ac:dyDescent="0.3">
      <c r="J74" s="73"/>
      <c r="M74" s="73"/>
      <c r="Q74" s="73"/>
    </row>
    <row r="75" spans="1:32" x14ac:dyDescent="0.3">
      <c r="J75" s="73"/>
      <c r="M75" s="73"/>
      <c r="Q75" s="73"/>
    </row>
    <row r="76" spans="1:32" x14ac:dyDescent="0.3">
      <c r="J76" s="73"/>
      <c r="M76" s="73"/>
      <c r="Q76" s="73"/>
    </row>
  </sheetData>
  <mergeCells count="1">
    <mergeCell ref="A1:AI3"/>
  </mergeCells>
  <conditionalFormatting sqref="A14:A15">
    <cfRule type="duplicateValues" dxfId="137" priority="156"/>
  </conditionalFormatting>
  <conditionalFormatting sqref="A14:A15">
    <cfRule type="duplicateValues" dxfId="136" priority="155"/>
  </conditionalFormatting>
  <conditionalFormatting sqref="A14:A15">
    <cfRule type="duplicateValues" dxfId="135" priority="154"/>
  </conditionalFormatting>
  <conditionalFormatting sqref="A14:A15">
    <cfRule type="duplicateValues" dxfId="134" priority="153"/>
  </conditionalFormatting>
  <conditionalFormatting sqref="A14:A15">
    <cfRule type="duplicateValues" dxfId="133" priority="152"/>
  </conditionalFormatting>
  <conditionalFormatting sqref="A14:A15">
    <cfRule type="duplicateValues" dxfId="132" priority="151"/>
  </conditionalFormatting>
  <conditionalFormatting sqref="A14:A15">
    <cfRule type="duplicateValues" dxfId="131" priority="150"/>
  </conditionalFormatting>
  <conditionalFormatting sqref="A14:A15">
    <cfRule type="duplicateValues" dxfId="130" priority="149"/>
  </conditionalFormatting>
  <conditionalFormatting sqref="A14:A15">
    <cfRule type="duplicateValues" dxfId="129" priority="148"/>
  </conditionalFormatting>
  <conditionalFormatting sqref="A14:A15">
    <cfRule type="duplicateValues" dxfId="128" priority="147"/>
  </conditionalFormatting>
  <conditionalFormatting sqref="A14:A15">
    <cfRule type="duplicateValues" dxfId="127" priority="146"/>
  </conditionalFormatting>
  <conditionalFormatting sqref="A14:A15">
    <cfRule type="duplicateValues" dxfId="126" priority="145"/>
  </conditionalFormatting>
  <conditionalFormatting sqref="A6">
    <cfRule type="duplicateValues" dxfId="125" priority="144"/>
  </conditionalFormatting>
  <conditionalFormatting sqref="A6">
    <cfRule type="duplicateValues" dxfId="124" priority="143"/>
  </conditionalFormatting>
  <conditionalFormatting sqref="A6">
    <cfRule type="duplicateValues" dxfId="123" priority="142"/>
  </conditionalFormatting>
  <conditionalFormatting sqref="A6">
    <cfRule type="duplicateValues" dxfId="122" priority="141"/>
  </conditionalFormatting>
  <conditionalFormatting sqref="A10">
    <cfRule type="duplicateValues" dxfId="121" priority="140"/>
  </conditionalFormatting>
  <conditionalFormatting sqref="A5">
    <cfRule type="duplicateValues" dxfId="120" priority="139"/>
  </conditionalFormatting>
  <conditionalFormatting sqref="A5">
    <cfRule type="duplicateValues" dxfId="119" priority="138"/>
  </conditionalFormatting>
  <conditionalFormatting sqref="A5">
    <cfRule type="duplicateValues" dxfId="118" priority="137"/>
  </conditionalFormatting>
  <conditionalFormatting sqref="A5">
    <cfRule type="duplicateValues" dxfId="117" priority="136"/>
  </conditionalFormatting>
  <conditionalFormatting sqref="A15">
    <cfRule type="duplicateValues" dxfId="116" priority="135"/>
  </conditionalFormatting>
  <conditionalFormatting sqref="A15">
    <cfRule type="duplicateValues" dxfId="115" priority="134"/>
  </conditionalFormatting>
  <conditionalFormatting sqref="A7">
    <cfRule type="duplicateValues" dxfId="114" priority="133"/>
  </conditionalFormatting>
  <conditionalFormatting sqref="A7">
    <cfRule type="duplicateValues" dxfId="113" priority="132"/>
  </conditionalFormatting>
  <conditionalFormatting sqref="A7">
    <cfRule type="duplicateValues" dxfId="112" priority="131"/>
  </conditionalFormatting>
  <conditionalFormatting sqref="A7">
    <cfRule type="duplicateValues" dxfId="111" priority="130"/>
  </conditionalFormatting>
  <conditionalFormatting sqref="A7">
    <cfRule type="duplicateValues" dxfId="110" priority="129"/>
  </conditionalFormatting>
  <conditionalFormatting sqref="A7">
    <cfRule type="duplicateValues" dxfId="109" priority="128"/>
  </conditionalFormatting>
  <conditionalFormatting sqref="A7">
    <cfRule type="duplicateValues" dxfId="108" priority="127"/>
  </conditionalFormatting>
  <conditionalFormatting sqref="A8">
    <cfRule type="duplicateValues" dxfId="107" priority="126"/>
  </conditionalFormatting>
  <conditionalFormatting sqref="A8">
    <cfRule type="duplicateValues" dxfId="106" priority="125"/>
  </conditionalFormatting>
  <conditionalFormatting sqref="A8">
    <cfRule type="duplicateValues" dxfId="105" priority="124"/>
  </conditionalFormatting>
  <conditionalFormatting sqref="A8">
    <cfRule type="duplicateValues" dxfId="104" priority="123"/>
  </conditionalFormatting>
  <conditionalFormatting sqref="A8">
    <cfRule type="duplicateValues" dxfId="103" priority="122"/>
  </conditionalFormatting>
  <conditionalFormatting sqref="A8">
    <cfRule type="duplicateValues" dxfId="102" priority="121"/>
  </conditionalFormatting>
  <conditionalFormatting sqref="A8">
    <cfRule type="duplicateValues" dxfId="101" priority="120"/>
  </conditionalFormatting>
  <conditionalFormatting sqref="A9">
    <cfRule type="duplicateValues" dxfId="100" priority="119"/>
  </conditionalFormatting>
  <conditionalFormatting sqref="A9">
    <cfRule type="duplicateValues" dxfId="99" priority="118"/>
  </conditionalFormatting>
  <conditionalFormatting sqref="A9">
    <cfRule type="duplicateValues" dxfId="98" priority="117"/>
  </conditionalFormatting>
  <conditionalFormatting sqref="A9">
    <cfRule type="duplicateValues" dxfId="97" priority="116"/>
  </conditionalFormatting>
  <conditionalFormatting sqref="A9">
    <cfRule type="duplicateValues" dxfId="96" priority="115"/>
  </conditionalFormatting>
  <conditionalFormatting sqref="A9">
    <cfRule type="duplicateValues" dxfId="95" priority="114"/>
  </conditionalFormatting>
  <conditionalFormatting sqref="A12">
    <cfRule type="duplicateValues" dxfId="94" priority="113"/>
  </conditionalFormatting>
  <conditionalFormatting sqref="A12">
    <cfRule type="duplicateValues" dxfId="93" priority="112"/>
  </conditionalFormatting>
  <conditionalFormatting sqref="A12">
    <cfRule type="duplicateValues" dxfId="92" priority="111"/>
  </conditionalFormatting>
  <conditionalFormatting sqref="A12">
    <cfRule type="duplicateValues" dxfId="91" priority="110"/>
  </conditionalFormatting>
  <conditionalFormatting sqref="A12">
    <cfRule type="duplicateValues" dxfId="90" priority="109"/>
  </conditionalFormatting>
  <conditionalFormatting sqref="A12">
    <cfRule type="duplicateValues" dxfId="89" priority="108"/>
  </conditionalFormatting>
  <conditionalFormatting sqref="A12">
    <cfRule type="duplicateValues" dxfId="88" priority="107"/>
  </conditionalFormatting>
  <conditionalFormatting sqref="A12">
    <cfRule type="duplicateValues" dxfId="87" priority="106"/>
  </conditionalFormatting>
  <conditionalFormatting sqref="A12">
    <cfRule type="duplicateValues" dxfId="86" priority="105"/>
  </conditionalFormatting>
  <conditionalFormatting sqref="A12">
    <cfRule type="duplicateValues" dxfId="85" priority="104"/>
  </conditionalFormatting>
  <conditionalFormatting sqref="A12">
    <cfRule type="duplicateValues" dxfId="84" priority="103"/>
  </conditionalFormatting>
  <conditionalFormatting sqref="A12">
    <cfRule type="duplicateValues" dxfId="83" priority="102"/>
  </conditionalFormatting>
  <conditionalFormatting sqref="A12">
    <cfRule type="duplicateValues" dxfId="82" priority="101"/>
  </conditionalFormatting>
  <conditionalFormatting sqref="A16">
    <cfRule type="duplicateValues" dxfId="81" priority="100"/>
  </conditionalFormatting>
  <conditionalFormatting sqref="A16">
    <cfRule type="duplicateValues" dxfId="80" priority="99"/>
  </conditionalFormatting>
  <conditionalFormatting sqref="A17">
    <cfRule type="duplicateValues" dxfId="79" priority="98"/>
  </conditionalFormatting>
  <conditionalFormatting sqref="A17">
    <cfRule type="duplicateValues" dxfId="78" priority="97"/>
  </conditionalFormatting>
  <conditionalFormatting sqref="A17">
    <cfRule type="duplicateValues" dxfId="77" priority="96"/>
  </conditionalFormatting>
  <conditionalFormatting sqref="A17">
    <cfRule type="duplicateValues" dxfId="76" priority="95"/>
  </conditionalFormatting>
  <conditionalFormatting sqref="A17">
    <cfRule type="duplicateValues" dxfId="75" priority="94"/>
  </conditionalFormatting>
  <conditionalFormatting sqref="A19">
    <cfRule type="duplicateValues" dxfId="74" priority="93"/>
  </conditionalFormatting>
  <conditionalFormatting sqref="A19">
    <cfRule type="duplicateValues" dxfId="73" priority="92"/>
  </conditionalFormatting>
  <conditionalFormatting sqref="A19">
    <cfRule type="duplicateValues" dxfId="72" priority="91"/>
  </conditionalFormatting>
  <conditionalFormatting sqref="A19">
    <cfRule type="duplicateValues" dxfId="71" priority="90"/>
  </conditionalFormatting>
  <conditionalFormatting sqref="A19">
    <cfRule type="duplicateValues" dxfId="70" priority="89"/>
  </conditionalFormatting>
  <conditionalFormatting sqref="A19">
    <cfRule type="duplicateValues" dxfId="69" priority="88"/>
  </conditionalFormatting>
  <conditionalFormatting sqref="A11">
    <cfRule type="duplicateValues" dxfId="68" priority="87"/>
  </conditionalFormatting>
  <conditionalFormatting sqref="A11">
    <cfRule type="duplicateValues" dxfId="67" priority="86"/>
  </conditionalFormatting>
  <conditionalFormatting sqref="A11">
    <cfRule type="duplicateValues" dxfId="66" priority="85"/>
  </conditionalFormatting>
  <conditionalFormatting sqref="A11">
    <cfRule type="duplicateValues" dxfId="65" priority="84"/>
  </conditionalFormatting>
  <conditionalFormatting sqref="A20">
    <cfRule type="duplicateValues" dxfId="64" priority="158"/>
  </conditionalFormatting>
  <conditionalFormatting sqref="C4:C1048576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G33 I33:AI33 E56:AI76 E50:G55 I50:AI55 E34:AI49 E5:AI32">
    <cfRule type="cellIs" dxfId="63" priority="81" operator="greaterThan">
      <formula>1</formula>
    </cfRule>
  </conditionalFormatting>
  <conditionalFormatting sqref="H3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D104857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0:H55">
    <cfRule type="colorScale" priority="130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1A8CC-C0AF-444E-A711-6C75F901189E}">
  <dimension ref="A1:AG32"/>
  <sheetViews>
    <sheetView showGridLines="0" zoomScaleNormal="100" workbookViewId="0">
      <selection activeCell="B30" sqref="B30"/>
    </sheetView>
  </sheetViews>
  <sheetFormatPr defaultRowHeight="14.5" x14ac:dyDescent="0.35"/>
  <cols>
    <col min="2" max="2" width="34.90625" bestFit="1" customWidth="1"/>
  </cols>
  <sheetData>
    <row r="1" spans="1:33" x14ac:dyDescent="0.35">
      <c r="A1" s="24" t="s">
        <v>159</v>
      </c>
      <c r="B1" s="24" t="s">
        <v>160</v>
      </c>
      <c r="E1" t="s">
        <v>10</v>
      </c>
    </row>
    <row r="2" spans="1:33" x14ac:dyDescent="0.35">
      <c r="A2" s="24">
        <v>22690</v>
      </c>
      <c r="B2" s="57" t="s">
        <v>150</v>
      </c>
      <c r="E2">
        <v>11693</v>
      </c>
      <c r="F2">
        <v>1413</v>
      </c>
      <c r="G2">
        <v>39449</v>
      </c>
      <c r="H2">
        <v>20672</v>
      </c>
      <c r="I2">
        <v>27554</v>
      </c>
      <c r="J2">
        <v>2619</v>
      </c>
      <c r="K2">
        <v>2387</v>
      </c>
      <c r="L2">
        <v>7074</v>
      </c>
      <c r="M2">
        <v>2852</v>
      </c>
      <c r="N2">
        <v>4891</v>
      </c>
      <c r="O2">
        <v>87265</v>
      </c>
      <c r="P2">
        <v>38666</v>
      </c>
      <c r="Q2">
        <v>6616</v>
      </c>
    </row>
    <row r="3" spans="1:33" x14ac:dyDescent="0.35">
      <c r="A3" s="24">
        <v>28422</v>
      </c>
      <c r="B3" s="57" t="s">
        <v>148</v>
      </c>
      <c r="E3">
        <v>38697</v>
      </c>
      <c r="F3">
        <v>31203</v>
      </c>
      <c r="G3">
        <v>69</v>
      </c>
      <c r="H3">
        <v>3712</v>
      </c>
      <c r="I3">
        <v>25620</v>
      </c>
      <c r="J3">
        <v>86170</v>
      </c>
      <c r="K3">
        <v>38872</v>
      </c>
      <c r="L3">
        <v>9142</v>
      </c>
      <c r="M3">
        <v>9842</v>
      </c>
      <c r="N3">
        <v>28451</v>
      </c>
      <c r="O3">
        <v>87627</v>
      </c>
    </row>
    <row r="4" spans="1:33" x14ac:dyDescent="0.35">
      <c r="A4" s="24">
        <v>20883</v>
      </c>
      <c r="B4" s="57" t="s">
        <v>147</v>
      </c>
      <c r="E4">
        <v>10670</v>
      </c>
      <c r="F4">
        <v>38118</v>
      </c>
      <c r="G4">
        <v>1787</v>
      </c>
      <c r="H4">
        <v>33174</v>
      </c>
      <c r="I4">
        <v>1692</v>
      </c>
      <c r="J4">
        <v>39230</v>
      </c>
      <c r="K4">
        <v>38654</v>
      </c>
      <c r="L4">
        <v>18630</v>
      </c>
      <c r="M4">
        <v>37425</v>
      </c>
      <c r="N4">
        <v>26430</v>
      </c>
      <c r="O4">
        <v>25993</v>
      </c>
      <c r="P4">
        <v>32495</v>
      </c>
      <c r="Q4">
        <v>1010</v>
      </c>
      <c r="R4">
        <v>33294</v>
      </c>
      <c r="S4">
        <v>35854</v>
      </c>
      <c r="T4">
        <v>29589</v>
      </c>
    </row>
    <row r="5" spans="1:33" x14ac:dyDescent="0.35">
      <c r="A5" s="24">
        <v>1967</v>
      </c>
      <c r="B5" s="57" t="s">
        <v>146</v>
      </c>
      <c r="E5">
        <v>27555</v>
      </c>
      <c r="F5">
        <v>25315</v>
      </c>
      <c r="G5">
        <v>18505</v>
      </c>
      <c r="H5">
        <v>1158</v>
      </c>
      <c r="I5">
        <v>2239</v>
      </c>
      <c r="J5">
        <v>7888</v>
      </c>
      <c r="K5">
        <v>87298</v>
      </c>
      <c r="L5">
        <v>23572</v>
      </c>
      <c r="M5">
        <v>18710</v>
      </c>
      <c r="N5">
        <v>18185</v>
      </c>
      <c r="O5">
        <v>38859</v>
      </c>
      <c r="P5">
        <v>2800</v>
      </c>
      <c r="Q5">
        <v>18974</v>
      </c>
      <c r="R5">
        <v>26264</v>
      </c>
      <c r="S5">
        <v>2094</v>
      </c>
      <c r="T5">
        <v>2009</v>
      </c>
      <c r="U5">
        <v>39397</v>
      </c>
      <c r="V5">
        <v>24321</v>
      </c>
      <c r="W5">
        <v>26848</v>
      </c>
      <c r="X5">
        <v>88210</v>
      </c>
      <c r="Y5">
        <v>25802</v>
      </c>
      <c r="Z5">
        <v>38698</v>
      </c>
    </row>
    <row r="6" spans="1:33" x14ac:dyDescent="0.35">
      <c r="A6" s="24">
        <v>3301</v>
      </c>
      <c r="B6" s="57" t="s">
        <v>149</v>
      </c>
      <c r="E6">
        <v>39239</v>
      </c>
      <c r="F6">
        <v>23898</v>
      </c>
      <c r="G6">
        <v>27617</v>
      </c>
      <c r="H6">
        <v>19268</v>
      </c>
      <c r="I6">
        <v>35542</v>
      </c>
      <c r="J6">
        <v>35464</v>
      </c>
      <c r="K6">
        <v>10588</v>
      </c>
      <c r="L6">
        <v>38777</v>
      </c>
      <c r="M6">
        <v>20510</v>
      </c>
      <c r="N6">
        <v>2478</v>
      </c>
      <c r="O6">
        <v>4113</v>
      </c>
    </row>
    <row r="7" spans="1:33" x14ac:dyDescent="0.35">
      <c r="A7" s="24">
        <v>1415</v>
      </c>
      <c r="B7" s="57" t="s">
        <v>138</v>
      </c>
      <c r="E7">
        <v>23928</v>
      </c>
      <c r="F7">
        <v>3911</v>
      </c>
      <c r="G7">
        <v>12484</v>
      </c>
      <c r="H7">
        <v>3760</v>
      </c>
      <c r="I7">
        <v>26946</v>
      </c>
      <c r="J7">
        <v>4004</v>
      </c>
      <c r="K7">
        <v>6937</v>
      </c>
      <c r="L7">
        <v>29731</v>
      </c>
      <c r="M7">
        <v>32234</v>
      </c>
      <c r="N7">
        <v>19066</v>
      </c>
      <c r="O7">
        <v>12514</v>
      </c>
      <c r="P7">
        <v>37012</v>
      </c>
      <c r="Q7">
        <v>36050</v>
      </c>
      <c r="R7">
        <v>87025</v>
      </c>
      <c r="S7">
        <v>32483</v>
      </c>
      <c r="T7">
        <v>21991</v>
      </c>
      <c r="U7">
        <v>41289</v>
      </c>
      <c r="V7">
        <v>4174</v>
      </c>
      <c r="W7">
        <v>40341</v>
      </c>
      <c r="X7">
        <v>3504</v>
      </c>
      <c r="Y7">
        <v>40114</v>
      </c>
      <c r="Z7">
        <v>22048</v>
      </c>
      <c r="AA7">
        <v>41155</v>
      </c>
      <c r="AB7">
        <v>34841</v>
      </c>
      <c r="AC7">
        <v>23979</v>
      </c>
      <c r="AD7">
        <v>7748</v>
      </c>
    </row>
    <row r="8" spans="1:33" x14ac:dyDescent="0.35">
      <c r="A8" s="24">
        <v>8585</v>
      </c>
      <c r="B8" s="57" t="s">
        <v>143</v>
      </c>
      <c r="E8">
        <v>37594</v>
      </c>
      <c r="F8">
        <v>24297</v>
      </c>
      <c r="G8">
        <v>39589</v>
      </c>
      <c r="H8">
        <v>19189</v>
      </c>
      <c r="I8">
        <v>40139</v>
      </c>
      <c r="J8">
        <v>1282</v>
      </c>
      <c r="K8">
        <v>4974</v>
      </c>
      <c r="L8">
        <v>39115</v>
      </c>
      <c r="M8">
        <v>88851</v>
      </c>
      <c r="N8">
        <v>25832</v>
      </c>
      <c r="O8">
        <v>40601</v>
      </c>
      <c r="P8">
        <v>38091</v>
      </c>
      <c r="Q8">
        <v>40697</v>
      </c>
      <c r="R8">
        <v>18361</v>
      </c>
      <c r="S8">
        <v>37334</v>
      </c>
      <c r="T8">
        <v>30079</v>
      </c>
      <c r="U8">
        <v>40679</v>
      </c>
      <c r="V8">
        <v>32362</v>
      </c>
      <c r="W8">
        <v>7658</v>
      </c>
      <c r="X8">
        <v>88337</v>
      </c>
      <c r="Y8">
        <v>7276</v>
      </c>
      <c r="Z8">
        <v>24123</v>
      </c>
      <c r="AA8">
        <v>21377</v>
      </c>
      <c r="AB8">
        <v>2932</v>
      </c>
      <c r="AC8">
        <v>38427</v>
      </c>
    </row>
    <row r="9" spans="1:33" x14ac:dyDescent="0.35">
      <c r="A9" s="24">
        <v>10243</v>
      </c>
      <c r="B9" s="57" t="s">
        <v>139</v>
      </c>
      <c r="E9">
        <v>21282</v>
      </c>
      <c r="F9">
        <v>28543</v>
      </c>
      <c r="G9">
        <v>87164</v>
      </c>
      <c r="H9">
        <v>41603</v>
      </c>
      <c r="I9">
        <v>87405</v>
      </c>
      <c r="J9">
        <v>20400</v>
      </c>
      <c r="K9">
        <v>38123</v>
      </c>
      <c r="L9">
        <v>36027</v>
      </c>
      <c r="M9">
        <v>40387</v>
      </c>
      <c r="N9">
        <v>37069</v>
      </c>
      <c r="O9">
        <v>41384</v>
      </c>
      <c r="P9">
        <v>20800</v>
      </c>
      <c r="Q9">
        <v>27052</v>
      </c>
      <c r="R9">
        <v>38805</v>
      </c>
    </row>
    <row r="10" spans="1:33" x14ac:dyDescent="0.35">
      <c r="A10" s="24">
        <v>1780</v>
      </c>
      <c r="B10" s="57" t="s">
        <v>140</v>
      </c>
      <c r="E10">
        <v>2986</v>
      </c>
      <c r="F10">
        <v>34983</v>
      </c>
      <c r="G10">
        <v>34563</v>
      </c>
      <c r="H10">
        <v>27676</v>
      </c>
      <c r="I10">
        <v>32277</v>
      </c>
      <c r="J10">
        <v>30290</v>
      </c>
      <c r="K10">
        <v>8950</v>
      </c>
      <c r="L10">
        <v>40112</v>
      </c>
      <c r="M10">
        <v>24731</v>
      </c>
      <c r="N10">
        <v>19583</v>
      </c>
      <c r="O10">
        <v>24930</v>
      </c>
      <c r="P10">
        <v>87781</v>
      </c>
      <c r="Q10">
        <v>25949</v>
      </c>
      <c r="R10">
        <v>6930</v>
      </c>
      <c r="S10">
        <v>24952</v>
      </c>
      <c r="T10">
        <v>37990</v>
      </c>
      <c r="U10">
        <v>4980</v>
      </c>
      <c r="V10">
        <v>28616</v>
      </c>
    </row>
    <row r="11" spans="1:33" x14ac:dyDescent="0.35">
      <c r="A11" s="24">
        <v>1542</v>
      </c>
      <c r="B11" s="57" t="s">
        <v>141</v>
      </c>
      <c r="E11">
        <v>6474</v>
      </c>
      <c r="F11">
        <v>36907</v>
      </c>
      <c r="G11">
        <v>36260</v>
      </c>
      <c r="H11">
        <v>4669</v>
      </c>
      <c r="I11">
        <v>2634</v>
      </c>
      <c r="J11">
        <v>10456</v>
      </c>
      <c r="K11">
        <v>3037</v>
      </c>
      <c r="L11">
        <v>28339</v>
      </c>
      <c r="M11">
        <v>9654</v>
      </c>
      <c r="N11">
        <v>38699</v>
      </c>
      <c r="O11">
        <v>35063</v>
      </c>
      <c r="P11">
        <v>34319</v>
      </c>
      <c r="Q11">
        <v>4511</v>
      </c>
      <c r="R11">
        <v>3371</v>
      </c>
      <c r="S11">
        <v>2209</v>
      </c>
      <c r="T11">
        <v>41446</v>
      </c>
    </row>
    <row r="12" spans="1:33" x14ac:dyDescent="0.35">
      <c r="A12" s="24">
        <v>86837</v>
      </c>
      <c r="B12" s="57" t="s">
        <v>142</v>
      </c>
      <c r="E12">
        <v>2681</v>
      </c>
      <c r="F12">
        <v>86851</v>
      </c>
      <c r="G12">
        <v>88157</v>
      </c>
      <c r="H12">
        <v>22039</v>
      </c>
      <c r="I12">
        <v>30566</v>
      </c>
      <c r="J12">
        <v>816</v>
      </c>
      <c r="K12">
        <v>32496</v>
      </c>
      <c r="L12">
        <v>36020</v>
      </c>
      <c r="M12">
        <v>25354</v>
      </c>
      <c r="N12">
        <v>38428</v>
      </c>
      <c r="O12">
        <v>6183</v>
      </c>
      <c r="P12">
        <v>85990</v>
      </c>
      <c r="Q12">
        <v>40381</v>
      </c>
      <c r="R12">
        <v>34139</v>
      </c>
      <c r="S12">
        <v>37886</v>
      </c>
      <c r="T12">
        <v>18048</v>
      </c>
      <c r="U12">
        <v>204</v>
      </c>
      <c r="V12">
        <v>549</v>
      </c>
      <c r="W12">
        <v>40772</v>
      </c>
      <c r="AF12">
        <v>21546</v>
      </c>
      <c r="AG12">
        <v>25762</v>
      </c>
    </row>
    <row r="13" spans="1:33" x14ac:dyDescent="0.35">
      <c r="A13" s="24">
        <v>34600</v>
      </c>
      <c r="B13" s="57" t="s">
        <v>161</v>
      </c>
      <c r="E13">
        <v>28791</v>
      </c>
      <c r="F13">
        <v>38918</v>
      </c>
      <c r="G13">
        <v>38881</v>
      </c>
      <c r="H13">
        <v>23745</v>
      </c>
      <c r="I13">
        <v>32000</v>
      </c>
      <c r="J13">
        <v>31959</v>
      </c>
      <c r="K13">
        <v>41487</v>
      </c>
      <c r="L13">
        <v>23648</v>
      </c>
      <c r="M13">
        <v>19513</v>
      </c>
      <c r="N13">
        <v>22268</v>
      </c>
      <c r="O13">
        <v>3903</v>
      </c>
      <c r="P13">
        <v>23504</v>
      </c>
      <c r="Q13">
        <v>23925</v>
      </c>
      <c r="R13">
        <v>29134</v>
      </c>
      <c r="S13">
        <v>39683</v>
      </c>
      <c r="T13">
        <v>21162</v>
      </c>
      <c r="U13">
        <v>87184</v>
      </c>
      <c r="V13">
        <v>40349</v>
      </c>
      <c r="W13">
        <v>38059</v>
      </c>
      <c r="X13">
        <v>21872</v>
      </c>
      <c r="Y13">
        <v>18110</v>
      </c>
      <c r="Z13">
        <v>40037</v>
      </c>
      <c r="AA13">
        <v>8118</v>
      </c>
      <c r="AB13">
        <v>9309</v>
      </c>
    </row>
    <row r="14" spans="1:33" x14ac:dyDescent="0.35">
      <c r="A14" s="24">
        <v>21967</v>
      </c>
      <c r="B14" s="57" t="s">
        <v>144</v>
      </c>
      <c r="E14">
        <v>37916</v>
      </c>
      <c r="F14">
        <v>6087</v>
      </c>
      <c r="G14">
        <v>6367</v>
      </c>
      <c r="H14">
        <v>12644</v>
      </c>
      <c r="I14">
        <v>9110</v>
      </c>
      <c r="J14">
        <v>34521</v>
      </c>
      <c r="K14">
        <v>34633</v>
      </c>
      <c r="L14">
        <v>37724</v>
      </c>
      <c r="M14">
        <v>38912</v>
      </c>
      <c r="N14">
        <v>87011</v>
      </c>
      <c r="O14">
        <v>89006</v>
      </c>
      <c r="P14">
        <v>37650</v>
      </c>
      <c r="Q14">
        <v>23971</v>
      </c>
      <c r="R14">
        <v>32859</v>
      </c>
      <c r="S14">
        <v>88367</v>
      </c>
      <c r="T14">
        <v>41183</v>
      </c>
      <c r="U14">
        <v>86865</v>
      </c>
      <c r="V14">
        <v>37000</v>
      </c>
      <c r="W14">
        <v>86140</v>
      </c>
      <c r="X14">
        <v>39078</v>
      </c>
      <c r="Y14">
        <v>38119</v>
      </c>
      <c r="Z14">
        <v>21404</v>
      </c>
    </row>
    <row r="15" spans="1:33" x14ac:dyDescent="0.35">
      <c r="A15" s="24">
        <v>21187</v>
      </c>
      <c r="B15" s="57" t="s">
        <v>145</v>
      </c>
      <c r="E15">
        <v>29149</v>
      </c>
      <c r="F15">
        <v>24201</v>
      </c>
      <c r="G15">
        <v>26747</v>
      </c>
      <c r="H15">
        <v>23813</v>
      </c>
      <c r="I15">
        <v>40741</v>
      </c>
      <c r="J15">
        <v>33124</v>
      </c>
      <c r="K15">
        <v>37307</v>
      </c>
      <c r="L15">
        <v>41514</v>
      </c>
      <c r="M15">
        <v>37801</v>
      </c>
      <c r="N15">
        <v>19417</v>
      </c>
      <c r="O15">
        <v>10371</v>
      </c>
      <c r="P15">
        <v>32481</v>
      </c>
      <c r="Q15">
        <v>87177</v>
      </c>
      <c r="R15">
        <v>37986</v>
      </c>
      <c r="S15">
        <v>26219</v>
      </c>
      <c r="T15">
        <v>2139</v>
      </c>
      <c r="U15">
        <v>21853</v>
      </c>
      <c r="V15">
        <v>89064</v>
      </c>
      <c r="W15">
        <v>39294</v>
      </c>
      <c r="X15">
        <v>38641</v>
      </c>
      <c r="Y15">
        <v>41098</v>
      </c>
    </row>
    <row r="16" spans="1:33" x14ac:dyDescent="0.35">
      <c r="A16" s="24"/>
      <c r="B16" s="57" t="s">
        <v>151</v>
      </c>
      <c r="E16">
        <v>39751</v>
      </c>
      <c r="F16">
        <v>36991</v>
      </c>
      <c r="G16">
        <v>5249</v>
      </c>
      <c r="H16">
        <v>265</v>
      </c>
      <c r="I16">
        <v>41330</v>
      </c>
      <c r="J16">
        <v>6419</v>
      </c>
      <c r="K16">
        <v>2811</v>
      </c>
      <c r="L16">
        <v>40376</v>
      </c>
      <c r="M16">
        <v>802</v>
      </c>
      <c r="N16">
        <v>25840</v>
      </c>
      <c r="O16">
        <v>19589</v>
      </c>
      <c r="P16">
        <v>8898</v>
      </c>
      <c r="Q16">
        <v>38693</v>
      </c>
      <c r="R16">
        <v>25514</v>
      </c>
      <c r="S16">
        <v>22539</v>
      </c>
      <c r="T16">
        <v>19730</v>
      </c>
      <c r="U16">
        <v>40039</v>
      </c>
      <c r="V16">
        <v>24078</v>
      </c>
      <c r="W16">
        <v>2726</v>
      </c>
      <c r="X16">
        <v>25542</v>
      </c>
      <c r="Y16">
        <v>785</v>
      </c>
    </row>
    <row r="17" spans="1:31" x14ac:dyDescent="0.35">
      <c r="A17" s="24"/>
      <c r="B17" s="57" t="s">
        <v>152</v>
      </c>
      <c r="E17">
        <v>9642</v>
      </c>
      <c r="F17">
        <v>293</v>
      </c>
      <c r="G17">
        <v>87974</v>
      </c>
      <c r="H17">
        <v>11524</v>
      </c>
      <c r="I17">
        <v>40328</v>
      </c>
      <c r="J17">
        <v>10268</v>
      </c>
      <c r="K17">
        <v>18358</v>
      </c>
      <c r="L17">
        <v>23123</v>
      </c>
      <c r="M17">
        <v>38377</v>
      </c>
      <c r="N17">
        <v>29193</v>
      </c>
      <c r="O17">
        <v>89044</v>
      </c>
      <c r="P17">
        <v>35142</v>
      </c>
      <c r="Q17">
        <v>9977</v>
      </c>
      <c r="R17">
        <v>1723</v>
      </c>
      <c r="S17">
        <v>11669</v>
      </c>
      <c r="T17">
        <v>27695</v>
      </c>
      <c r="U17">
        <v>1727</v>
      </c>
      <c r="V17">
        <v>86321</v>
      </c>
      <c r="W17">
        <v>27377</v>
      </c>
    </row>
    <row r="18" spans="1:31" x14ac:dyDescent="0.35">
      <c r="A18" s="24"/>
      <c r="B18" s="57" t="s">
        <v>153</v>
      </c>
      <c r="E18">
        <v>7177</v>
      </c>
      <c r="F18">
        <v>35084</v>
      </c>
      <c r="G18">
        <v>23076</v>
      </c>
      <c r="H18">
        <v>36987</v>
      </c>
      <c r="I18">
        <v>24697</v>
      </c>
      <c r="J18">
        <v>21015</v>
      </c>
      <c r="K18">
        <v>38970</v>
      </c>
      <c r="L18">
        <v>88896</v>
      </c>
      <c r="M18">
        <v>20684</v>
      </c>
      <c r="N18">
        <v>87110</v>
      </c>
      <c r="O18">
        <v>19712</v>
      </c>
      <c r="P18">
        <v>27032</v>
      </c>
      <c r="Q18">
        <v>40172</v>
      </c>
      <c r="R18">
        <v>86298</v>
      </c>
      <c r="S18">
        <v>40618</v>
      </c>
      <c r="T18">
        <v>29920</v>
      </c>
      <c r="U18">
        <v>7851</v>
      </c>
      <c r="V18">
        <v>4161</v>
      </c>
      <c r="W18">
        <v>33141</v>
      </c>
      <c r="X18">
        <v>41191</v>
      </c>
      <c r="Y18">
        <v>4220</v>
      </c>
      <c r="Z18">
        <v>2922</v>
      </c>
      <c r="AA18">
        <v>7776</v>
      </c>
      <c r="AB18">
        <v>86913</v>
      </c>
      <c r="AC18">
        <v>2784</v>
      </c>
      <c r="AD18">
        <v>727</v>
      </c>
      <c r="AE18">
        <v>2204</v>
      </c>
    </row>
    <row r="19" spans="1:31" x14ac:dyDescent="0.35">
      <c r="A19" s="24"/>
      <c r="B19" s="57" t="s">
        <v>154</v>
      </c>
      <c r="E19">
        <v>22690</v>
      </c>
      <c r="F19">
        <v>39496</v>
      </c>
      <c r="G19">
        <v>18199</v>
      </c>
      <c r="H19">
        <v>38877</v>
      </c>
      <c r="I19">
        <v>37698</v>
      </c>
      <c r="J19">
        <v>7320</v>
      </c>
    </row>
    <row r="20" spans="1:31" x14ac:dyDescent="0.35">
      <c r="A20" s="24"/>
      <c r="B20" s="57" t="s">
        <v>155</v>
      </c>
      <c r="E20">
        <v>26158</v>
      </c>
      <c r="F20">
        <v>2659</v>
      </c>
      <c r="G20">
        <v>23791</v>
      </c>
      <c r="H20">
        <v>37297</v>
      </c>
      <c r="I20">
        <v>3415</v>
      </c>
      <c r="J20">
        <v>39966</v>
      </c>
      <c r="K20">
        <v>39863</v>
      </c>
      <c r="L20">
        <v>38729</v>
      </c>
      <c r="M20">
        <v>29374</v>
      </c>
      <c r="N20">
        <v>40046</v>
      </c>
      <c r="O20">
        <v>21125</v>
      </c>
      <c r="P20">
        <v>87552</v>
      </c>
      <c r="Q20">
        <v>20739</v>
      </c>
      <c r="R20">
        <v>41524</v>
      </c>
      <c r="S20">
        <v>35995</v>
      </c>
    </row>
    <row r="21" spans="1:31" x14ac:dyDescent="0.35">
      <c r="A21" s="24"/>
      <c r="B21" s="57" t="s">
        <v>156</v>
      </c>
      <c r="E21">
        <v>25631</v>
      </c>
      <c r="F21">
        <v>39540</v>
      </c>
      <c r="G21">
        <v>33561</v>
      </c>
      <c r="H21">
        <v>10685</v>
      </c>
      <c r="I21">
        <v>29725</v>
      </c>
      <c r="J21">
        <v>40077</v>
      </c>
      <c r="K21">
        <v>36136</v>
      </c>
      <c r="L21">
        <v>2929</v>
      </c>
      <c r="M21">
        <v>40825</v>
      </c>
      <c r="N21">
        <v>87478</v>
      </c>
      <c r="O21">
        <v>18897</v>
      </c>
      <c r="P21">
        <v>12710</v>
      </c>
      <c r="Q21">
        <v>9203</v>
      </c>
      <c r="R21">
        <v>36762</v>
      </c>
      <c r="S21">
        <v>26034</v>
      </c>
      <c r="T21">
        <v>23421</v>
      </c>
      <c r="U21">
        <v>740</v>
      </c>
      <c r="V21">
        <v>39599</v>
      </c>
      <c r="W21">
        <v>21567</v>
      </c>
    </row>
    <row r="22" spans="1:31" x14ac:dyDescent="0.35">
      <c r="A22" s="24"/>
      <c r="B22" s="57" t="s">
        <v>157</v>
      </c>
      <c r="E22">
        <v>87876</v>
      </c>
      <c r="F22">
        <v>26439</v>
      </c>
      <c r="G22">
        <v>38332</v>
      </c>
      <c r="H22">
        <v>33184</v>
      </c>
      <c r="I22">
        <v>33754</v>
      </c>
      <c r="J22">
        <v>20780</v>
      </c>
      <c r="K22">
        <v>20732</v>
      </c>
      <c r="L22">
        <v>3286</v>
      </c>
      <c r="M22">
        <v>3594</v>
      </c>
      <c r="N22">
        <v>22354</v>
      </c>
      <c r="O22">
        <v>30124</v>
      </c>
      <c r="P22">
        <v>37170</v>
      </c>
    </row>
    <row r="23" spans="1:31" x14ac:dyDescent="0.35">
      <c r="A23" s="24"/>
      <c r="B23" s="57" t="s">
        <v>158</v>
      </c>
      <c r="E23">
        <v>18149</v>
      </c>
      <c r="F23">
        <v>86382</v>
      </c>
      <c r="G23">
        <v>28122</v>
      </c>
      <c r="H23">
        <v>7387</v>
      </c>
      <c r="I23">
        <v>25366</v>
      </c>
      <c r="J23">
        <v>24140</v>
      </c>
      <c r="K23">
        <v>1398</v>
      </c>
      <c r="L23">
        <v>8390</v>
      </c>
      <c r="M23">
        <v>11080</v>
      </c>
      <c r="N23">
        <v>28739</v>
      </c>
      <c r="O23">
        <v>19295</v>
      </c>
      <c r="P23">
        <v>18916</v>
      </c>
      <c r="Q23">
        <v>39970</v>
      </c>
      <c r="R23">
        <v>24431</v>
      </c>
    </row>
    <row r="24" spans="1:31" x14ac:dyDescent="0.35">
      <c r="A24" s="24"/>
      <c r="B24" s="57"/>
      <c r="E24">
        <v>18123</v>
      </c>
      <c r="F24">
        <v>10231</v>
      </c>
      <c r="G24">
        <v>6838</v>
      </c>
      <c r="H24">
        <v>30160</v>
      </c>
      <c r="I24">
        <v>27822</v>
      </c>
      <c r="J24">
        <v>87028</v>
      </c>
      <c r="K24">
        <v>88053</v>
      </c>
      <c r="L24">
        <v>38491</v>
      </c>
      <c r="M24">
        <v>35196</v>
      </c>
      <c r="N24">
        <v>26122</v>
      </c>
      <c r="O24">
        <v>9480</v>
      </c>
      <c r="P24">
        <v>40786</v>
      </c>
      <c r="Q24">
        <v>34160</v>
      </c>
      <c r="R24">
        <v>32683</v>
      </c>
      <c r="S24">
        <v>36637</v>
      </c>
      <c r="T24">
        <v>27711</v>
      </c>
      <c r="U24">
        <v>36205</v>
      </c>
      <c r="V24">
        <v>11445</v>
      </c>
      <c r="W24">
        <v>20335</v>
      </c>
      <c r="X24">
        <v>88351</v>
      </c>
    </row>
    <row r="25" spans="1:31" x14ac:dyDescent="0.35">
      <c r="A25" s="24"/>
      <c r="B25" s="57"/>
      <c r="E25">
        <v>20844</v>
      </c>
      <c r="F25">
        <v>21238</v>
      </c>
      <c r="G25">
        <v>26731</v>
      </c>
      <c r="H25">
        <v>10713</v>
      </c>
      <c r="I25">
        <v>27982</v>
      </c>
      <c r="J25">
        <v>34400</v>
      </c>
      <c r="K25">
        <v>3765</v>
      </c>
      <c r="L25">
        <v>1615</v>
      </c>
      <c r="M25">
        <v>24533</v>
      </c>
      <c r="N25">
        <v>37655</v>
      </c>
      <c r="O25">
        <v>27845</v>
      </c>
      <c r="P25">
        <v>23107</v>
      </c>
      <c r="Q25">
        <v>23869</v>
      </c>
      <c r="R25">
        <v>4787</v>
      </c>
    </row>
    <row r="26" spans="1:31" x14ac:dyDescent="0.35">
      <c r="A26" s="24"/>
      <c r="B26" s="57"/>
      <c r="E26">
        <v>20571</v>
      </c>
      <c r="F26">
        <v>39409</v>
      </c>
      <c r="G26">
        <v>1630</v>
      </c>
      <c r="H26">
        <v>34012</v>
      </c>
      <c r="I26">
        <v>115</v>
      </c>
      <c r="J26">
        <v>34835</v>
      </c>
      <c r="K26">
        <v>3042</v>
      </c>
      <c r="L26">
        <v>87991</v>
      </c>
      <c r="M26">
        <v>30629</v>
      </c>
      <c r="N26">
        <v>32861</v>
      </c>
      <c r="O26">
        <v>33870</v>
      </c>
      <c r="P26">
        <v>6936</v>
      </c>
      <c r="Q26">
        <v>87681</v>
      </c>
      <c r="R26">
        <v>19437</v>
      </c>
      <c r="S26">
        <v>1596</v>
      </c>
      <c r="T26">
        <v>34332</v>
      </c>
      <c r="U26">
        <v>32679</v>
      </c>
      <c r="V26">
        <v>35462</v>
      </c>
      <c r="W26">
        <v>2250</v>
      </c>
      <c r="X26">
        <v>40928</v>
      </c>
      <c r="Y26">
        <v>35504</v>
      </c>
      <c r="Z26">
        <v>28580</v>
      </c>
    </row>
    <row r="27" spans="1:31" x14ac:dyDescent="0.35">
      <c r="E27">
        <v>37593</v>
      </c>
      <c r="F27">
        <v>39914</v>
      </c>
      <c r="G27">
        <v>87128</v>
      </c>
      <c r="H27">
        <v>38876</v>
      </c>
      <c r="I27">
        <v>22947</v>
      </c>
      <c r="J27">
        <v>23461</v>
      </c>
      <c r="K27">
        <v>7916</v>
      </c>
      <c r="L27">
        <v>35073</v>
      </c>
      <c r="M27">
        <v>5542</v>
      </c>
      <c r="N27">
        <v>32322</v>
      </c>
      <c r="O27">
        <v>3442</v>
      </c>
      <c r="P27">
        <v>30131</v>
      </c>
      <c r="Q27">
        <v>36411</v>
      </c>
      <c r="R27">
        <v>7312</v>
      </c>
      <c r="S27">
        <v>40861</v>
      </c>
      <c r="T27">
        <v>19097</v>
      </c>
      <c r="U27">
        <v>40580</v>
      </c>
      <c r="V27">
        <v>27215</v>
      </c>
      <c r="W27">
        <v>40628</v>
      </c>
    </row>
    <row r="28" spans="1:31" x14ac:dyDescent="0.35">
      <c r="E28">
        <v>39756</v>
      </c>
      <c r="F28">
        <v>2847</v>
      </c>
      <c r="G28">
        <v>26774</v>
      </c>
      <c r="H28">
        <v>33779</v>
      </c>
      <c r="I28">
        <v>35701</v>
      </c>
      <c r="J28">
        <v>21837</v>
      </c>
      <c r="K28">
        <v>39464</v>
      </c>
      <c r="L28">
        <v>28369</v>
      </c>
      <c r="M28">
        <v>2578</v>
      </c>
      <c r="N28">
        <v>40000</v>
      </c>
      <c r="O28">
        <v>39755</v>
      </c>
      <c r="P28">
        <v>1792</v>
      </c>
      <c r="Q28">
        <v>23792</v>
      </c>
      <c r="R28">
        <v>41203</v>
      </c>
      <c r="S28">
        <v>88647</v>
      </c>
      <c r="T28">
        <v>41438</v>
      </c>
      <c r="U28">
        <v>9850</v>
      </c>
      <c r="V28">
        <v>40410</v>
      </c>
      <c r="W28">
        <v>40571</v>
      </c>
      <c r="X28">
        <v>41562</v>
      </c>
      <c r="Y28">
        <v>30038</v>
      </c>
    </row>
    <row r="29" spans="1:31" x14ac:dyDescent="0.35">
      <c r="E29">
        <v>33543</v>
      </c>
      <c r="F29">
        <v>35839</v>
      </c>
      <c r="G29">
        <v>28066</v>
      </c>
      <c r="H29">
        <v>25968</v>
      </c>
      <c r="I29">
        <v>23707</v>
      </c>
      <c r="J29">
        <v>36238</v>
      </c>
      <c r="K29">
        <v>12347</v>
      </c>
      <c r="L29">
        <v>37651</v>
      </c>
      <c r="M29">
        <v>10351</v>
      </c>
    </row>
    <row r="30" spans="1:31" x14ac:dyDescent="0.35">
      <c r="E30">
        <v>39806</v>
      </c>
      <c r="F30">
        <v>18155</v>
      </c>
      <c r="G30">
        <v>1900</v>
      </c>
      <c r="H30">
        <v>29088</v>
      </c>
      <c r="I30">
        <v>88416</v>
      </c>
      <c r="J30">
        <v>32578</v>
      </c>
      <c r="K30">
        <v>35626</v>
      </c>
      <c r="L30">
        <v>23193</v>
      </c>
      <c r="M30">
        <v>4287</v>
      </c>
      <c r="N30">
        <v>20802</v>
      </c>
      <c r="O30">
        <v>39283</v>
      </c>
      <c r="P30">
        <v>32370</v>
      </c>
      <c r="Q30">
        <v>88095</v>
      </c>
      <c r="R30">
        <v>29191</v>
      </c>
      <c r="S30">
        <v>6548</v>
      </c>
    </row>
    <row r="31" spans="1:31" x14ac:dyDescent="0.35">
      <c r="E31">
        <v>25761</v>
      </c>
      <c r="F31">
        <v>3564</v>
      </c>
      <c r="G31">
        <v>6315</v>
      </c>
      <c r="H31">
        <v>27787</v>
      </c>
      <c r="I31">
        <v>23323</v>
      </c>
      <c r="J31">
        <v>88353</v>
      </c>
      <c r="K31">
        <v>88093</v>
      </c>
      <c r="L31">
        <v>1781</v>
      </c>
      <c r="M31">
        <v>30170</v>
      </c>
      <c r="N31">
        <v>25276</v>
      </c>
      <c r="O31">
        <v>88386</v>
      </c>
      <c r="P31">
        <v>24339</v>
      </c>
    </row>
    <row r="32" spans="1:31" x14ac:dyDescent="0.35">
      <c r="E32">
        <v>18816</v>
      </c>
      <c r="F32">
        <v>36722</v>
      </c>
      <c r="G32">
        <v>20615</v>
      </c>
      <c r="H32">
        <v>8342</v>
      </c>
      <c r="I32">
        <v>2718</v>
      </c>
      <c r="J32">
        <v>10960</v>
      </c>
      <c r="K32">
        <v>2719</v>
      </c>
      <c r="L32">
        <v>24348</v>
      </c>
      <c r="M32">
        <v>2385</v>
      </c>
      <c r="N32">
        <v>29358</v>
      </c>
    </row>
  </sheetData>
  <conditionalFormatting sqref="E2:XFD29 A25:A26 A2:A23">
    <cfRule type="duplicateValues" dxfId="25" priority="21"/>
  </conditionalFormatting>
  <conditionalFormatting sqref="A25:B26 A2:B23">
    <cfRule type="duplicateValues" dxfId="24" priority="20"/>
  </conditionalFormatting>
  <conditionalFormatting sqref="A2:B26">
    <cfRule type="duplicateValues" dxfId="23" priority="1"/>
    <cfRule type="duplicateValues" dxfId="22" priority="2"/>
    <cfRule type="duplicateValues" dxfId="21" priority="3"/>
    <cfRule type="duplicateValues" dxfId="20" priority="4"/>
    <cfRule type="duplicateValues" dxfId="19" priority="5"/>
    <cfRule type="duplicateValues" dxfId="18" priority="6"/>
    <cfRule type="duplicateValues" dxfId="17" priority="7"/>
    <cfRule type="duplicateValues" dxfId="16" priority="8"/>
    <cfRule type="duplicateValues" dxfId="15" priority="9"/>
    <cfRule type="duplicateValues" dxfId="14" priority="10"/>
    <cfRule type="duplicateValues" dxfId="13" priority="11"/>
    <cfRule type="duplicateValues" dxfId="12" priority="12"/>
    <cfRule type="duplicateValues" dxfId="11" priority="13"/>
    <cfRule type="duplicateValues" dxfId="10" priority="14"/>
    <cfRule type="duplicateValues" dxfId="9" priority="15"/>
    <cfRule type="duplicateValues" dxfId="8" priority="16"/>
    <cfRule type="duplicateValues" dxfId="7" priority="17"/>
    <cfRule type="duplicateValues" dxfId="6" priority="18"/>
    <cfRule type="duplicateValues" dxfId="5" priority="19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20E3-A9E6-4A4F-AB09-6B454BBCB61C}">
  <dimension ref="A1:U35"/>
  <sheetViews>
    <sheetView showGridLines="0" workbookViewId="0">
      <selection activeCell="G15" sqref="G15"/>
    </sheetView>
  </sheetViews>
  <sheetFormatPr defaultRowHeight="14.5" x14ac:dyDescent="0.35"/>
  <cols>
    <col min="1" max="1" width="39.08984375" bestFit="1" customWidth="1"/>
    <col min="2" max="2" width="16.6328125" style="24" bestFit="1" customWidth="1"/>
    <col min="3" max="3" width="16.6328125" style="24" customWidth="1"/>
    <col min="4" max="4" width="10.7265625" style="24" customWidth="1"/>
    <col min="5" max="5" width="8.08984375" style="24" customWidth="1"/>
    <col min="6" max="6" width="10" style="24" customWidth="1"/>
    <col min="7" max="7" width="14.90625" style="24" bestFit="1" customWidth="1"/>
    <col min="8" max="8" width="11.7265625" style="24" customWidth="1"/>
    <col min="9" max="9" width="11.36328125" style="24" bestFit="1" customWidth="1"/>
    <col min="10" max="15" width="9.08984375" style="24"/>
    <col min="16" max="16" width="15.36328125" style="24" bestFit="1" customWidth="1"/>
    <col min="17" max="17" width="13.36328125" style="24" bestFit="1" customWidth="1"/>
    <col min="18" max="18" width="10" style="24" bestFit="1" customWidth="1"/>
    <col min="19" max="19" width="13.6328125" style="24" bestFit="1" customWidth="1"/>
    <col min="20" max="20" width="12.90625" style="24" bestFit="1" customWidth="1"/>
    <col min="21" max="21" width="11.08984375" style="24" bestFit="1" customWidth="1"/>
  </cols>
  <sheetData>
    <row r="1" spans="1:21" s="27" customFormat="1" ht="21" customHeight="1" x14ac:dyDescent="0.35">
      <c r="A1" s="178" t="s">
        <v>180</v>
      </c>
      <c r="B1" s="178" t="s">
        <v>127</v>
      </c>
      <c r="C1" s="179"/>
      <c r="D1" s="181" t="s">
        <v>166</v>
      </c>
      <c r="E1" s="181"/>
      <c r="F1" s="181"/>
      <c r="G1" s="181"/>
      <c r="H1" s="181"/>
      <c r="I1" s="181"/>
      <c r="J1" s="182" t="s">
        <v>173</v>
      </c>
      <c r="K1" s="182"/>
      <c r="L1" s="182"/>
      <c r="M1" s="182"/>
      <c r="N1" s="182"/>
      <c r="O1" s="182"/>
      <c r="P1" s="184" t="s">
        <v>174</v>
      </c>
      <c r="Q1" s="185" t="s">
        <v>175</v>
      </c>
      <c r="R1" s="186" t="s">
        <v>176</v>
      </c>
      <c r="S1" s="187" t="s">
        <v>177</v>
      </c>
      <c r="T1" s="188" t="s">
        <v>178</v>
      </c>
      <c r="U1" s="183" t="s">
        <v>179</v>
      </c>
    </row>
    <row r="2" spans="1:21" s="27" customFormat="1" ht="21" customHeight="1" x14ac:dyDescent="0.35">
      <c r="A2" s="178"/>
      <c r="B2" s="178"/>
      <c r="C2" s="180"/>
      <c r="D2" s="58" t="s">
        <v>167</v>
      </c>
      <c r="E2" s="58" t="s">
        <v>168</v>
      </c>
      <c r="F2" s="59" t="s">
        <v>169</v>
      </c>
      <c r="G2" s="58" t="s">
        <v>170</v>
      </c>
      <c r="H2" s="58" t="s">
        <v>171</v>
      </c>
      <c r="I2" s="58" t="s">
        <v>172</v>
      </c>
      <c r="J2" s="60"/>
      <c r="K2" s="60"/>
      <c r="L2" s="61"/>
      <c r="M2" s="60"/>
      <c r="N2" s="60"/>
      <c r="O2" s="60"/>
      <c r="P2" s="184"/>
      <c r="Q2" s="185"/>
      <c r="R2" s="186"/>
      <c r="S2" s="187"/>
      <c r="T2" s="188"/>
      <c r="U2" s="183"/>
    </row>
    <row r="3" spans="1:21" x14ac:dyDescent="0.35">
      <c r="A3" s="62" t="s">
        <v>70</v>
      </c>
      <c r="B3" s="63">
        <v>0.29166666666666669</v>
      </c>
      <c r="C3" s="63" t="s">
        <v>184</v>
      </c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</row>
    <row r="4" spans="1:21" x14ac:dyDescent="0.35">
      <c r="A4" s="62" t="s">
        <v>73</v>
      </c>
      <c r="B4" s="63">
        <v>0.29166666666666669</v>
      </c>
      <c r="C4" s="63" t="s">
        <v>184</v>
      </c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</row>
    <row r="5" spans="1:21" x14ac:dyDescent="0.35">
      <c r="A5" s="62" t="s">
        <v>102</v>
      </c>
      <c r="B5" s="63">
        <v>0.29166666666666669</v>
      </c>
      <c r="C5" s="63" t="s">
        <v>184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</row>
    <row r="6" spans="1:21" x14ac:dyDescent="0.35">
      <c r="A6" s="62" t="s">
        <v>39</v>
      </c>
      <c r="B6" s="63">
        <v>0.29166666666666669</v>
      </c>
      <c r="C6" s="63" t="s">
        <v>184</v>
      </c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</row>
    <row r="7" spans="1:21" x14ac:dyDescent="0.35">
      <c r="A7" s="62" t="s">
        <v>104</v>
      </c>
      <c r="B7" s="63">
        <v>0.29166666666666669</v>
      </c>
      <c r="C7" s="63" t="s">
        <v>184</v>
      </c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</row>
    <row r="8" spans="1:21" x14ac:dyDescent="0.35">
      <c r="A8" s="62" t="s">
        <v>77</v>
      </c>
      <c r="B8" s="63">
        <v>0.29166666666666669</v>
      </c>
      <c r="C8" s="63" t="s">
        <v>184</v>
      </c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</row>
    <row r="9" spans="1:21" x14ac:dyDescent="0.35">
      <c r="A9" s="62" t="s">
        <v>41</v>
      </c>
      <c r="B9" s="63">
        <v>0.29166666666666669</v>
      </c>
      <c r="C9" s="63" t="s">
        <v>184</v>
      </c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</row>
    <row r="10" spans="1:21" x14ac:dyDescent="0.35">
      <c r="A10" s="62" t="s">
        <v>185</v>
      </c>
      <c r="B10" s="63">
        <v>0.29166666666666669</v>
      </c>
      <c r="C10" s="63" t="s">
        <v>184</v>
      </c>
      <c r="D10" s="64" t="s">
        <v>181</v>
      </c>
      <c r="E10" s="64" t="s">
        <v>181</v>
      </c>
      <c r="F10" s="64" t="s">
        <v>181</v>
      </c>
      <c r="G10" s="64" t="s">
        <v>181</v>
      </c>
      <c r="H10" s="64" t="s">
        <v>181</v>
      </c>
      <c r="I10" s="64" t="s">
        <v>181</v>
      </c>
      <c r="J10" s="64" t="s">
        <v>182</v>
      </c>
      <c r="K10" s="64" t="s">
        <v>182</v>
      </c>
      <c r="L10" s="64" t="s">
        <v>182</v>
      </c>
      <c r="M10" s="64" t="s">
        <v>182</v>
      </c>
      <c r="N10" s="64" t="s">
        <v>182</v>
      </c>
      <c r="O10" s="64" t="s">
        <v>182</v>
      </c>
      <c r="P10" s="64"/>
      <c r="Q10" s="64"/>
      <c r="R10" s="64"/>
      <c r="S10" s="64"/>
      <c r="T10" s="64"/>
      <c r="U10" s="64"/>
    </row>
    <row r="11" spans="1:21" x14ac:dyDescent="0.35">
      <c r="A11" s="62" t="s">
        <v>80</v>
      </c>
      <c r="B11" s="63">
        <v>0.29166666666666669</v>
      </c>
      <c r="C11" s="63" t="s">
        <v>184</v>
      </c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</row>
    <row r="12" spans="1:21" x14ac:dyDescent="0.35">
      <c r="A12" s="62" t="s">
        <v>54</v>
      </c>
      <c r="B12" s="63">
        <v>0.29166666666666669</v>
      </c>
      <c r="C12" s="63" t="s">
        <v>184</v>
      </c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</row>
    <row r="13" spans="1:21" x14ac:dyDescent="0.35">
      <c r="A13" s="62" t="s">
        <v>82</v>
      </c>
      <c r="B13" s="63">
        <v>0.29166666666666669</v>
      </c>
      <c r="C13" s="63" t="s">
        <v>184</v>
      </c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</row>
    <row r="14" spans="1:21" x14ac:dyDescent="0.35">
      <c r="A14" s="62" t="s">
        <v>68</v>
      </c>
      <c r="B14" s="63">
        <v>0.29166666666666669</v>
      </c>
      <c r="C14" s="63" t="s">
        <v>184</v>
      </c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</row>
    <row r="15" spans="1:21" x14ac:dyDescent="0.35">
      <c r="A15" s="62" t="s">
        <v>33</v>
      </c>
      <c r="B15" s="63">
        <v>0.29166666666666669</v>
      </c>
      <c r="C15" s="63" t="s">
        <v>184</v>
      </c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</row>
    <row r="16" spans="1:21" x14ac:dyDescent="0.35">
      <c r="A16" s="62" t="s">
        <v>64</v>
      </c>
      <c r="B16" s="63">
        <v>0.29166666666666669</v>
      </c>
      <c r="C16" s="63" t="s">
        <v>184</v>
      </c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</row>
    <row r="17" spans="1:21" x14ac:dyDescent="0.35">
      <c r="A17" s="62" t="s">
        <v>165</v>
      </c>
      <c r="B17" s="63">
        <v>0.29166666666666669</v>
      </c>
      <c r="C17" s="63" t="s">
        <v>184</v>
      </c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</row>
    <row r="18" spans="1:21" x14ac:dyDescent="0.35">
      <c r="A18" s="62" t="s">
        <v>71</v>
      </c>
      <c r="B18" s="63">
        <v>0.29166666666666669</v>
      </c>
      <c r="C18" s="63" t="s">
        <v>163</v>
      </c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</row>
    <row r="19" spans="1:21" x14ac:dyDescent="0.35">
      <c r="A19" s="62" t="s">
        <v>74</v>
      </c>
      <c r="B19" s="63">
        <v>0.29166666666666669</v>
      </c>
      <c r="C19" s="63" t="s">
        <v>163</v>
      </c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</row>
    <row r="20" spans="1:21" x14ac:dyDescent="0.35">
      <c r="A20" s="62" t="s">
        <v>103</v>
      </c>
      <c r="B20" s="63">
        <v>0.29166666666666669</v>
      </c>
      <c r="C20" s="63" t="s">
        <v>163</v>
      </c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</row>
    <row r="21" spans="1:21" x14ac:dyDescent="0.35">
      <c r="A21" s="62" t="s">
        <v>40</v>
      </c>
      <c r="B21" s="63">
        <v>0.29166666666666669</v>
      </c>
      <c r="C21" s="63" t="s">
        <v>163</v>
      </c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</row>
    <row r="22" spans="1:21" x14ac:dyDescent="0.35">
      <c r="A22" s="62" t="s">
        <v>79</v>
      </c>
      <c r="B22" s="63">
        <v>0.29166666666666669</v>
      </c>
      <c r="C22" s="63" t="s">
        <v>163</v>
      </c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</row>
    <row r="23" spans="1:21" x14ac:dyDescent="0.35">
      <c r="A23" s="62" t="s">
        <v>78</v>
      </c>
      <c r="B23" s="63">
        <v>0.29166666666666669</v>
      </c>
      <c r="C23" s="63" t="s">
        <v>163</v>
      </c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</row>
    <row r="24" spans="1:21" x14ac:dyDescent="0.35">
      <c r="A24" s="62" t="s">
        <v>42</v>
      </c>
      <c r="B24" s="63">
        <v>0.29166666666666669</v>
      </c>
      <c r="C24" s="63" t="s">
        <v>163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</row>
    <row r="25" spans="1:21" x14ac:dyDescent="0.35">
      <c r="A25" s="62" t="s">
        <v>92</v>
      </c>
      <c r="B25" s="63">
        <v>0.29166666666666669</v>
      </c>
      <c r="C25" s="63" t="s">
        <v>163</v>
      </c>
      <c r="D25" s="64" t="s">
        <v>182</v>
      </c>
      <c r="E25" s="64" t="s">
        <v>181</v>
      </c>
      <c r="F25" s="64" t="s">
        <v>183</v>
      </c>
      <c r="G25" s="64"/>
      <c r="H25" s="64"/>
      <c r="I25" s="64"/>
      <c r="J25" s="64" t="s">
        <v>181</v>
      </c>
      <c r="K25" s="64" t="s">
        <v>181</v>
      </c>
      <c r="L25" s="64" t="s">
        <v>181</v>
      </c>
      <c r="M25" s="64" t="s">
        <v>181</v>
      </c>
      <c r="N25" s="64" t="s">
        <v>181</v>
      </c>
      <c r="O25" s="64" t="s">
        <v>181</v>
      </c>
      <c r="P25" s="64"/>
      <c r="Q25" s="64"/>
      <c r="R25" s="64"/>
      <c r="S25" s="64"/>
      <c r="T25" s="64"/>
      <c r="U25" s="64"/>
    </row>
    <row r="26" spans="1:21" x14ac:dyDescent="0.35">
      <c r="A26" s="62" t="s">
        <v>55</v>
      </c>
      <c r="B26" s="63">
        <v>0.29166666666666669</v>
      </c>
      <c r="C26" s="63" t="s">
        <v>163</v>
      </c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</row>
    <row r="27" spans="1:21" x14ac:dyDescent="0.35">
      <c r="A27" s="62" t="s">
        <v>105</v>
      </c>
      <c r="B27" s="63">
        <v>0.29166666666666669</v>
      </c>
      <c r="C27" s="63" t="s">
        <v>163</v>
      </c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</row>
    <row r="28" spans="1:21" x14ac:dyDescent="0.35">
      <c r="A28" s="62" t="s">
        <v>69</v>
      </c>
      <c r="B28" s="63">
        <v>0.29166666666666669</v>
      </c>
      <c r="C28" s="63" t="s">
        <v>163</v>
      </c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</row>
    <row r="29" spans="1:21" x14ac:dyDescent="0.35">
      <c r="A29" s="62" t="s">
        <v>106</v>
      </c>
      <c r="B29" s="63">
        <v>0.29166666666666669</v>
      </c>
      <c r="C29" s="63" t="s">
        <v>163</v>
      </c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</row>
    <row r="30" spans="1:21" x14ac:dyDescent="0.35">
      <c r="A30" s="62" t="s">
        <v>34</v>
      </c>
      <c r="B30" s="63">
        <v>0.29166666666666669</v>
      </c>
      <c r="C30" s="63" t="s">
        <v>163</v>
      </c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</row>
    <row r="31" spans="1:21" x14ac:dyDescent="0.35">
      <c r="A31" s="62" t="s">
        <v>52</v>
      </c>
      <c r="B31" s="63">
        <v>0.29166666666666669</v>
      </c>
      <c r="C31" s="63" t="s">
        <v>163</v>
      </c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</row>
    <row r="32" spans="1:21" x14ac:dyDescent="0.35">
      <c r="A32" s="62" t="s">
        <v>107</v>
      </c>
      <c r="B32" s="63">
        <v>0.29166666666666669</v>
      </c>
      <c r="C32" s="63" t="s">
        <v>163</v>
      </c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</row>
    <row r="33" spans="1:21" x14ac:dyDescent="0.35">
      <c r="A33" s="62" t="s">
        <v>89</v>
      </c>
      <c r="B33" s="63">
        <v>0.29166666666666669</v>
      </c>
      <c r="C33" s="63" t="s">
        <v>163</v>
      </c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</row>
    <row r="34" spans="1:21" x14ac:dyDescent="0.35">
      <c r="A34" s="62" t="s">
        <v>108</v>
      </c>
      <c r="B34" s="63">
        <v>0.29166666666666669</v>
      </c>
      <c r="C34" s="63" t="s">
        <v>163</v>
      </c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</row>
    <row r="35" spans="1:21" x14ac:dyDescent="0.35">
      <c r="A35" s="62" t="s">
        <v>164</v>
      </c>
      <c r="B35" s="63">
        <v>0.29166666666666669</v>
      </c>
      <c r="C35" s="63" t="s">
        <v>163</v>
      </c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</row>
  </sheetData>
  <autoFilter ref="A2:U2" xr:uid="{77F620E3-A9E6-4A4F-AB09-6B454BBCB61C}"/>
  <mergeCells count="11">
    <mergeCell ref="U1:U2"/>
    <mergeCell ref="P1:P2"/>
    <mergeCell ref="Q1:Q2"/>
    <mergeCell ref="R1:R2"/>
    <mergeCell ref="S1:S2"/>
    <mergeCell ref="T1:T2"/>
    <mergeCell ref="A1:A2"/>
    <mergeCell ref="B1:B2"/>
    <mergeCell ref="C1:C2"/>
    <mergeCell ref="D1:I1"/>
    <mergeCell ref="J1:O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d5b2426-a070-4fa9-8960-71978df4e1f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F280E1CBF72942B05780A4DC8C7FC1" ma:contentTypeVersion="11" ma:contentTypeDescription="Create a new document." ma:contentTypeScope="" ma:versionID="cc1deb57d42241f007ba1d10514c6291">
  <xsd:schema xmlns:xsd="http://www.w3.org/2001/XMLSchema" xmlns:xs="http://www.w3.org/2001/XMLSchema" xmlns:p="http://schemas.microsoft.com/office/2006/metadata/properties" xmlns:ns3="9d5b2426-a070-4fa9-8960-71978df4e1f0" targetNamespace="http://schemas.microsoft.com/office/2006/metadata/properties" ma:root="true" ma:fieldsID="7662250d92d440f2bc70f4b9f0a85b80" ns3:_="">
    <xsd:import namespace="9d5b2426-a070-4fa9-8960-71978df4e1f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5b2426-a070-4fa9-8960-71978df4e1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AD4AC5C2-8741-48A5-997B-414ED39405ED}">
  <ds:schemaRefs>
    <ds:schemaRef ds:uri="http://purl.org/dc/dcmitype/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9d5b2426-a070-4fa9-8960-71978df4e1f0"/>
  </ds:schemaRefs>
</ds:datastoreItem>
</file>

<file path=customXml/itemProps2.xml><?xml version="1.0" encoding="utf-8"?>
<ds:datastoreItem xmlns:ds="http://schemas.openxmlformats.org/officeDocument/2006/customXml" ds:itemID="{29262F35-BF87-43FF-908A-123B4167CB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569801-2867-4746-99E2-C08ED4824D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5b2426-a070-4fa9-8960-71978df4e1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0F8AB16-8230-4C86-A697-6B86616988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PCD DIA </vt:lpstr>
      <vt:lpstr>ESCALA</vt:lpstr>
      <vt:lpstr>MATINAIS</vt:lpstr>
      <vt:lpstr>FOLGA</vt:lpstr>
      <vt:lpstr>EMPILHADEIRAS</vt:lpstr>
      <vt:lpstr>CONHECIMENTO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GABRIELA SANTOS SILVA</dc:creator>
  <cp:lastModifiedBy>SANDRA CRISTINA TODESCHINI</cp:lastModifiedBy>
  <cp:lastPrinted>2025-07-18T10:26:00Z</cp:lastPrinted>
  <dcterms:created xsi:type="dcterms:W3CDTF">2025-06-23T09:15:55Z</dcterms:created>
  <dcterms:modified xsi:type="dcterms:W3CDTF">2025-09-12T12:54:05Z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0x010100EEF280E1CBF72942B05780A4DC8C7FC1</vt:lpwstr>
  </property>
</Properties>
</file>